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ối sánh giá" sheetId="1" state="visible" r:id="rId1"/>
    <sheet xmlns:r="http://schemas.openxmlformats.org/officeDocument/2006/relationships" name="Phương án cắt giảm" sheetId="2" state="visible" r:id="rId2"/>
    <sheet xmlns:r="http://schemas.openxmlformats.org/officeDocument/2006/relationships" name="Đề xuất bổ sung" sheetId="3" state="visible" r:id="rId3"/>
    <sheet xmlns:r="http://schemas.openxmlformats.org/officeDocument/2006/relationships" name="Chú giải"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Times New Roman"/>
      <b val="1"/>
      <sz val="11"/>
    </font>
    <font>
      <name val="Times New Roman"/>
      <sz val="11"/>
    </font>
  </fonts>
  <fills count="7">
    <fill>
      <patternFill/>
    </fill>
    <fill>
      <patternFill patternType="gray125"/>
    </fill>
    <fill>
      <patternFill patternType="solid">
        <fgColor rgb="00DDEBF7"/>
      </patternFill>
    </fill>
    <fill>
      <patternFill patternType="solid">
        <fgColor rgb="00C6EFCE"/>
      </patternFill>
    </fill>
    <fill>
      <patternFill patternType="solid">
        <fgColor rgb="00E2EFDA"/>
      </patternFill>
    </fill>
    <fill>
      <patternFill patternType="solid">
        <fgColor rgb="00FFEB9C"/>
      </patternFill>
    </fill>
    <fill>
      <patternFill patternType="solid">
        <fgColor rgb="00D9D9D9"/>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3">
    <xf numFmtId="0" fontId="0" fillId="0" borderId="0" pivotButton="0" quotePrefix="0" xfId="0"/>
    <xf numFmtId="0" fontId="2" fillId="6" borderId="1" applyAlignment="1" pivotButton="0" quotePrefix="0" xfId="0">
      <alignment horizontal="center" vertical="center" wrapText="1"/>
    </xf>
    <xf numFmtId="0" fontId="3" fillId="0" borderId="1" applyAlignment="1" pivotButton="0" quotePrefix="0" xfId="0">
      <alignment vertical="top" wrapText="1"/>
    </xf>
    <xf numFmtId="0" fontId="3" fillId="2" borderId="1" applyAlignment="1" pivotButton="0" quotePrefix="0" xfId="0">
      <alignment vertical="top" wrapText="1"/>
    </xf>
    <xf numFmtId="3"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3" fontId="3" fillId="5" borderId="1" applyAlignment="1" pivotButton="0" quotePrefix="0" xfId="0">
      <alignment vertical="top" wrapText="1"/>
    </xf>
    <xf numFmtId="0" fontId="2" fillId="0" borderId="1" applyAlignment="1" pivotButton="0" quotePrefix="0" xfId="0">
      <alignment vertical="top" wrapText="1"/>
    </xf>
    <xf numFmtId="3" fontId="2" fillId="0" borderId="1"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2" customWidth="1" min="2" max="2"/>
    <col width="8" customWidth="1" min="3" max="3"/>
    <col width="13" customWidth="1" min="4" max="4"/>
    <col width="14" customWidth="1" min="5" max="5"/>
    <col width="13" customWidth="1" min="6" max="6"/>
    <col width="38" customWidth="1" min="7" max="7"/>
    <col width="15" customWidth="1" min="8" max="8"/>
    <col width="16" customWidth="1" min="9" max="9"/>
    <col width="16" customWidth="1" min="10" max="10"/>
    <col width="60" customWidth="1" min="11" max="11"/>
    <col width="13" customWidth="1" min="12" max="12"/>
    <col width="9" customWidth="1" min="13" max="13"/>
  </cols>
  <sheetData>
    <row r="1">
      <c r="A1" s="1" t="inlineStr">
        <is>
          <t>STT</t>
        </is>
      </c>
      <c r="B1" s="1" t="inlineStr">
        <is>
          <t>Tên thiết bị (đề cương)</t>
        </is>
      </c>
      <c r="C1" s="1" t="inlineStr">
        <is>
          <t>Số lượng</t>
        </is>
      </c>
      <c r="D1" s="1" t="inlineStr">
        <is>
          <t>Loại giá</t>
        </is>
      </c>
      <c r="E1" s="1" t="inlineStr">
        <is>
          <t>Nguồn giá</t>
        </is>
      </c>
      <c r="F1" s="1" t="inlineStr">
        <is>
          <t>Sheet / dòng</t>
        </is>
      </c>
      <c r="G1" s="1" t="inlineStr">
        <is>
          <t>Thiết bị tham chiếu (tên, model)</t>
        </is>
      </c>
      <c r="H1" s="1" t="inlineStr">
        <is>
          <t>Đơn giá tạm (đồng)</t>
        </is>
      </c>
      <c r="I1" s="1" t="inlineStr">
        <is>
          <t>Thành tiền (đồng)</t>
        </is>
      </c>
      <c r="J1" s="1" t="inlineStr">
        <is>
          <t>Khoảng ước lượng (đồng)</t>
        </is>
      </c>
      <c r="K1" s="1" t="inlineStr">
        <is>
          <t>Căn cứ / ghi chú</t>
        </is>
      </c>
      <c r="L1" s="1" t="inlineStr">
        <is>
          <t>Net-zero: mức tương đồng</t>
        </is>
      </c>
      <c r="M1" s="1" t="inlineStr">
        <is>
          <t>Net-zero: STT</t>
        </is>
      </c>
    </row>
    <row r="2">
      <c r="A2" s="2" t="n">
        <v>1</v>
      </c>
      <c r="B2" s="2" t="inlineStr">
        <is>
          <t>Tủ hút Phượng Hải - Việt Nam</t>
        </is>
      </c>
      <c r="C2" s="2" t="n">
        <v>2</v>
      </c>
      <c r="D2" s="3" t="inlineStr">
        <is>
          <t>Tương đồng</t>
        </is>
      </c>
      <c r="E2" s="2" t="inlineStr">
        <is>
          <t>Tệp 4_Thuốc</t>
        </is>
      </c>
      <c r="F2" s="2" t="inlineStr">
        <is>
          <t>4 Thuốc / 61</t>
        </is>
      </c>
      <c r="G2" s="2" t="inlineStr">
        <is>
          <t>Tủ hút khí độc — Tủ hút khí độc</t>
        </is>
      </c>
      <c r="H2" s="4" t="n">
        <v>180000000</v>
      </c>
      <c r="I2" s="4">
        <f>IF(H2="","",C2*H2)</f>
        <v/>
      </c>
      <c r="J2" s="2" t="n"/>
      <c r="K2" s="2" t="inlineStr">
        <is>
          <t>Tủ hút khí độc BLH18 Phượng Hải (cùng hãng). Nếu lấy đúng loại 1600 mm có màng lọc: tệp G9, sheet "2 CNVS&amp;G", dòng 284 = 220.000.000.</t>
        </is>
      </c>
      <c r="L2" s="2" t="inlineStr">
        <is>
          <t>Không có</t>
        </is>
      </c>
      <c r="M2" s="2" t="n"/>
    </row>
    <row r="3">
      <c r="A3" s="2" t="n">
        <v>2</v>
      </c>
      <c r="B3" s="2" t="inlineStr">
        <is>
          <t>Cân 4 số BCE224i-1S Sartorius - Trung Quốc</t>
        </is>
      </c>
      <c r="C3" s="2" t="n">
        <v>2</v>
      </c>
      <c r="D3" s="5" t="inlineStr">
        <is>
          <t>Trùng model</t>
        </is>
      </c>
      <c r="E3" s="2" t="inlineStr">
        <is>
          <t>Tệp 4_Thuốc</t>
        </is>
      </c>
      <c r="F3" s="2" t="inlineStr">
        <is>
          <t>4 Thuốc / 6</t>
        </is>
      </c>
      <c r="G3" s="2" t="inlineStr">
        <is>
          <t>Cân phân tích 04 số lẻ — Cân phân tích 04 số lẻ</t>
        </is>
      </c>
      <c r="H3" s="4" t="n">
        <v>73620000</v>
      </c>
      <c r="I3" s="4">
        <f>IF(H3="","",C3*H3)</f>
        <v/>
      </c>
      <c r="J3" s="2" t="n"/>
      <c r="K3" s="2" t="inlineStr">
        <is>
          <t>Cùng model BCE224i-1S Sartorius.</t>
        </is>
      </c>
      <c r="L3" s="2" t="inlineStr">
        <is>
          <t>Một phần</t>
        </is>
      </c>
      <c r="M3" s="2" t="inlineStr">
        <is>
          <t>44</t>
        </is>
      </c>
    </row>
    <row r="4">
      <c r="A4" s="2" t="n">
        <v>3</v>
      </c>
      <c r="B4" s="2" t="inlineStr">
        <is>
          <t>Cân 2 số SPX6201 Ohaus - Trung Quốc</t>
        </is>
      </c>
      <c r="C4" s="2" t="n">
        <v>2</v>
      </c>
      <c r="D4" s="3" t="inlineStr">
        <is>
          <t>Tương đồng</t>
        </is>
      </c>
      <c r="E4" s="2" t="inlineStr">
        <is>
          <t>Tệp 4_Thuốc</t>
        </is>
      </c>
      <c r="F4" s="2" t="inlineStr">
        <is>
          <t>4 Thuốc / 7</t>
        </is>
      </c>
      <c r="G4" s="2" t="inlineStr">
        <is>
          <t>Cân phân tích 02 số lẻ — Cân phân tích 02 số lẻ</t>
        </is>
      </c>
      <c r="H4" s="4" t="n">
        <v>49030000</v>
      </c>
      <c r="I4" s="4">
        <f>IF(H4="","",C4*H4)</f>
        <v/>
      </c>
      <c r="J4" s="2" t="n"/>
      <c r="K4" s="2" t="inlineStr">
        <is>
          <t>Cân 2 số lẻ BCE2202i (2.200 g/0,01 g); đề cương là SPX6201 (6.200 g/0,1 g).</t>
        </is>
      </c>
      <c r="L4" s="2" t="inlineStr">
        <is>
          <t>Tương đồng</t>
        </is>
      </c>
      <c r="M4" s="2" t="inlineStr">
        <is>
          <t>45</t>
        </is>
      </c>
    </row>
    <row r="5">
      <c r="A5" s="2" t="n">
        <v>4</v>
      </c>
      <c r="B5" s="2" t="inlineStr">
        <is>
          <t>Máy khuấy từ gia nhiệt AREC 7 Velp - Ý</t>
        </is>
      </c>
      <c r="C5" s="2" t="n">
        <v>5</v>
      </c>
      <c r="D5" s="3" t="inlineStr">
        <is>
          <t>Tương đồng</t>
        </is>
      </c>
      <c r="E5" s="2" t="inlineStr">
        <is>
          <t>Tệp 4_Thuốc</t>
        </is>
      </c>
      <c r="F5" s="2" t="inlineStr">
        <is>
          <t>4 Thuốc / 43</t>
        </is>
      </c>
      <c r="G5" s="2" t="inlineStr">
        <is>
          <t>Máy khuấy từ gia nhiệt nhỏ — Máy khuấy từ gia nhiệt nhỏ</t>
        </is>
      </c>
      <c r="H5" s="4" t="n">
        <v>20000000</v>
      </c>
      <c r="I5" s="4">
        <f>IF(H5="","",C5*H5)</f>
        <v/>
      </c>
      <c r="J5" s="2" t="n"/>
      <c r="K5" s="2" t="inlineStr">
        <is>
          <t>Máy khuấy từ gia nhiệt nhỏ (IKA C-MAG HS 7 theo sheet Append1).</t>
        </is>
      </c>
      <c r="L5" s="2" t="inlineStr">
        <is>
          <t>Tương đồng</t>
        </is>
      </c>
      <c r="M5" s="2" t="inlineStr">
        <is>
          <t>24</t>
        </is>
      </c>
    </row>
    <row r="6">
      <c r="A6" s="2" t="n">
        <v>5</v>
      </c>
      <c r="B6" s="2" t="inlineStr">
        <is>
          <t>Bể rửa siêu âm thể tích 6 lít Model: WUC-D06H Hãng sản xuất: Daihan - Hàn Quốc</t>
        </is>
      </c>
      <c r="C6" s="2" t="n">
        <v>2</v>
      </c>
      <c r="D6" s="3" t="inlineStr">
        <is>
          <t>Tương đồng</t>
        </is>
      </c>
      <c r="E6" s="2" t="inlineStr">
        <is>
          <t>Tệp 4_Thuốc</t>
        </is>
      </c>
      <c r="F6" s="2" t="inlineStr">
        <is>
          <t>4 Thuốc / 74</t>
        </is>
      </c>
      <c r="G6" s="2" t="inlineStr">
        <is>
          <t>Bể rửa siêu âm có gia nhiệt — Bể rửa siêu âm có gia nhiệt</t>
        </is>
      </c>
      <c r="H6" s="4" t="n">
        <v>21210000</v>
      </c>
      <c r="I6" s="4">
        <f>IF(H6="","",C6*H6)</f>
        <v/>
      </c>
      <c r="J6" s="2" t="n"/>
      <c r="K6" s="2" t="inlineStr">
        <is>
          <t>Bể rửa siêu âm có gia nhiệt (Elma S10H, khoảng 10 L).</t>
        </is>
      </c>
      <c r="L6" s="2" t="inlineStr">
        <is>
          <t>Trùng model</t>
        </is>
      </c>
      <c r="M6" s="2" t="inlineStr">
        <is>
          <t>26</t>
        </is>
      </c>
    </row>
    <row r="7">
      <c r="A7" s="2" t="n">
        <v>6</v>
      </c>
      <c r="B7" s="2" t="inlineStr">
        <is>
          <t>Tủ sấy UN55 Memmert - Đức</t>
        </is>
      </c>
      <c r="C7" s="2" t="n">
        <v>2</v>
      </c>
      <c r="D7" s="5" t="inlineStr">
        <is>
          <t>Trùng model</t>
        </is>
      </c>
      <c r="E7" s="2" t="inlineStr">
        <is>
          <t>Tệp G9 (2025)</t>
        </is>
      </c>
      <c r="F7" s="2" t="inlineStr">
        <is>
          <t>6 VLYS / 140</t>
        </is>
      </c>
      <c r="G7" s="2" t="inlineStr">
        <is>
          <t>Tủ sấy 300oC — Memmert UN55</t>
        </is>
      </c>
      <c r="H7" s="4" t="n">
        <v>49880000</v>
      </c>
      <c r="I7" s="4">
        <f>IF(H7="","",C7*H7)</f>
        <v/>
      </c>
      <c r="J7" s="2" t="n"/>
      <c r="K7" s="2" t="inlineStr">
        <is>
          <t>Cùng model Memmert UN55.</t>
        </is>
      </c>
      <c r="L7" s="2" t="inlineStr">
        <is>
          <t>Tương đồng</t>
        </is>
      </c>
      <c r="M7" s="2" t="inlineStr">
        <is>
          <t>54</t>
        </is>
      </c>
    </row>
    <row r="8">
      <c r="A8" s="2" t="n">
        <v>7</v>
      </c>
      <c r="B8" s="2" t="inlineStr">
        <is>
          <t>Tủ lạnh Hòa Phát - Việt Nam</t>
        </is>
      </c>
      <c r="C8" s="2" t="n">
        <v>1</v>
      </c>
      <c r="D8" s="3" t="inlineStr">
        <is>
          <t>Tương đồng</t>
        </is>
      </c>
      <c r="E8" s="2" t="inlineStr">
        <is>
          <t>Tệp 4_Thuốc</t>
        </is>
      </c>
      <c r="F8" s="2" t="inlineStr">
        <is>
          <t>4 Thuốc / 78</t>
        </is>
      </c>
      <c r="G8" s="2" t="inlineStr">
        <is>
          <t>Tủ lạnh (loại lớn) — Tủ lạnh (loại lớn)</t>
        </is>
      </c>
      <c r="H8" s="4" t="n">
        <v>42430000</v>
      </c>
      <c r="I8" s="4">
        <f>IF(H8="","",C8*H8)</f>
        <v/>
      </c>
      <c r="J8" s="2" t="n"/>
      <c r="K8" s="2" t="inlineStr">
        <is>
          <t>Tủ lạnh gia dụng loại lớn (Panasonic 550 L), lớn hơn 340 L trong đề cương. Nếu đổi sang tủ chống cháy nổ thì giá này không dùng được.</t>
        </is>
      </c>
      <c r="L8" s="2" t="inlineStr">
        <is>
          <t>Một phần</t>
        </is>
      </c>
      <c r="M8" s="2" t="inlineStr">
        <is>
          <t>85</t>
        </is>
      </c>
    </row>
    <row r="9">
      <c r="A9" s="2" t="n">
        <v>8</v>
      </c>
      <c r="B9" s="2" t="inlineStr">
        <is>
          <t>Tủ đông Hòa Phát - Việt Nam</t>
        </is>
      </c>
      <c r="C9" s="2" t="n">
        <v>1</v>
      </c>
      <c r="D9" s="6" t="inlineStr">
        <is>
          <t>Giá liên quan</t>
        </is>
      </c>
      <c r="E9" s="2" t="inlineStr">
        <is>
          <t>Tệp 4_Thuốc</t>
        </is>
      </c>
      <c r="F9" s="2" t="inlineStr">
        <is>
          <t>4 Thuốc / 13</t>
        </is>
      </c>
      <c r="G9" s="2" t="inlineStr">
        <is>
          <t>Tủ lạnh âm - 30°C — Tủ lạnh âm - 30°C</t>
        </is>
      </c>
      <c r="H9" s="4" t="n">
        <v>148800000</v>
      </c>
      <c r="I9" s="4">
        <f>IF(H9="","",C9*H9)</f>
        <v/>
      </c>
      <c r="J9" s="2" t="n"/>
      <c r="K9" s="2" t="inlineStr">
        <is>
          <t>Dùng giá tủ âm -30 °C PHC (tủ phòng thí nghiệm) theo phương án nâng cấp đã góp ý. Nếu giữ tủ đông gia dụng 252 L như đề cương: khoảng 8–12 triệu.</t>
        </is>
      </c>
      <c r="L9" s="2" t="inlineStr">
        <is>
          <t>Tương đồng</t>
        </is>
      </c>
      <c r="M9" s="2" t="inlineStr">
        <is>
          <t>86</t>
        </is>
      </c>
    </row>
    <row r="10">
      <c r="A10" s="2" t="n">
        <v>9</v>
      </c>
      <c r="B10" s="2" t="inlineStr">
        <is>
          <t>Máy chưng cất nước 2 lần Model: WSC/4D Hãng sản xuất: HAMILTON - Anh</t>
        </is>
      </c>
      <c r="C10" s="2" t="n">
        <v>1</v>
      </c>
      <c r="D10" s="5" t="inlineStr">
        <is>
          <t>Trùng model</t>
        </is>
      </c>
      <c r="E10" s="2" t="inlineStr">
        <is>
          <t>Tệp G9 (2025)</t>
        </is>
      </c>
      <c r="F10" s="2" t="inlineStr">
        <is>
          <t>Append1 / 2644</t>
        </is>
      </c>
      <c r="G10" s="2" t="inlineStr">
        <is>
          <t>Máy cất nước 2 lần — WSC/4D/Hamilton/Anh/sinh 4 lít nước cất 2 lần trên giờ</t>
        </is>
      </c>
      <c r="H10" s="4" t="n">
        <v>100000000</v>
      </c>
      <c r="I10" s="4">
        <f>IF(H10="","",C10*H10)</f>
        <v/>
      </c>
      <c r="J10" s="2" t="n"/>
      <c r="K10" s="2" t="inlineStr">
        <is>
          <t>Cùng model Hamilton WSC/4D (giá ở sheet tổng hợp Append1, số tròn).</t>
        </is>
      </c>
      <c r="L10" s="2" t="inlineStr">
        <is>
          <t>Trùng model</t>
        </is>
      </c>
      <c r="M10" s="2" t="inlineStr">
        <is>
          <t>47</t>
        </is>
      </c>
    </row>
    <row r="11">
      <c r="A11" s="2" t="n">
        <v>10</v>
      </c>
      <c r="B11" s="2" t="inlineStr">
        <is>
          <t>Hệ nước siêu sạch</t>
        </is>
      </c>
      <c r="C11" s="2" t="n">
        <v>1</v>
      </c>
      <c r="D11" s="7" t="inlineStr">
        <is>
          <t>Ước lượng</t>
        </is>
      </c>
      <c r="E11" s="2" t="inlineStr">
        <is>
          <t>Ước lượng thị trường VN</t>
        </is>
      </c>
      <c r="F11" s="2" t="n"/>
      <c r="G11" s="2" t="n"/>
      <c r="H11" s="8" t="n">
        <v>400000000</v>
      </c>
      <c r="I11" s="4">
        <f>IF(H11="","",C11*H11)</f>
        <v/>
      </c>
      <c r="J11" s="2" t="inlineStr">
        <is>
          <t>250 – 600 triệu</t>
        </is>
      </c>
      <c r="K11" s="2" t="inlineStr">
        <is>
          <t>Hệ nước siêu sạch loại I (18,2 MΩ·cm) kèm tiền xử lý RO, 10–15 L/giờ, hãng châu Âu/Mỹ. Hãng Trung Quốc: khoảng 80–150 triệu.</t>
        </is>
      </c>
      <c r="L11" s="2" t="inlineStr">
        <is>
          <t>Tương đồng</t>
        </is>
      </c>
      <c r="M11" s="2" t="inlineStr">
        <is>
          <t>70</t>
        </is>
      </c>
    </row>
    <row r="12">
      <c r="A12" s="2" t="n">
        <v>11</v>
      </c>
      <c r="B12" s="2" t="inlineStr">
        <is>
          <t>Máy cô quay chân không và phụ kiện Model: N-1300E-W Hãng sản xuất: Tokyo Rikakikai (Eyela) - Nhật Bản</t>
        </is>
      </c>
      <c r="C12" s="2" t="n">
        <v>2</v>
      </c>
      <c r="D12" s="3" t="inlineStr">
        <is>
          <t>Tương đồng</t>
        </is>
      </c>
      <c r="E12" s="2" t="inlineStr">
        <is>
          <t>Tệp 4_Thuốc</t>
        </is>
      </c>
      <c r="F12" s="2" t="inlineStr">
        <is>
          <t>4 Thuốc / 56</t>
        </is>
      </c>
      <c r="G12" s="2" t="inlineStr">
        <is>
          <t>Máy cô quay, bơm chân không, và bộ làm lạnh (100- 1000mL) — Máy cô quay, bơm chân không, và bộ làm lạnh (100- 1000mL)</t>
        </is>
      </c>
      <c r="H12" s="4" t="n">
        <v>295000000</v>
      </c>
      <c r="I12" s="4">
        <f>IF(H12="","",C12*H12)</f>
        <v/>
      </c>
      <c r="J12" s="2" t="n"/>
      <c r="K12" s="2" t="inlineStr">
        <is>
          <t>Eyela N-1300V-WB, bộ gồm bơm chân không và bộ làm lạnh; khắc phục thiếu sót phạm vi cung cấp đã nêu.</t>
        </is>
      </c>
      <c r="L12" s="2" t="inlineStr">
        <is>
          <t>Trùng model</t>
        </is>
      </c>
      <c r="M12" s="2" t="inlineStr">
        <is>
          <t>21</t>
        </is>
      </c>
    </row>
    <row r="13">
      <c r="A13" s="2" t="n">
        <v>12</v>
      </c>
      <c r="B13" s="2" t="inlineStr">
        <is>
          <t>Hệ phản ứng kiểm soát nhiệt, áp suất Model: TOP-HP500 Hãng sản xuất: Toption - Trung Quốc</t>
        </is>
      </c>
      <c r="C13" s="2" t="n">
        <v>2</v>
      </c>
      <c r="D13" s="7" t="inlineStr">
        <is>
          <t>Ước lượng</t>
        </is>
      </c>
      <c r="E13" s="2" t="inlineStr">
        <is>
          <t>Ước lượng thị trường VN</t>
        </is>
      </c>
      <c r="F13" s="2" t="n"/>
      <c r="G13" s="2" t="n"/>
      <c r="H13" s="8" t="n">
        <v>250000000</v>
      </c>
      <c r="I13" s="4">
        <f>IF(H13="","",C13*H13)</f>
        <v/>
      </c>
      <c r="J13" s="2" t="inlineStr">
        <is>
          <t>150 – 350 triệu</t>
        </is>
      </c>
      <c r="K13" s="2" t="inlineStr">
        <is>
          <t>Thiết bị phản ứng áp suất 500 mL có khuấy, điều khiển nhiệt độ, đồng hồ áp suất, lót PPL (hãng Trung Quốc). Nếu chỉ là bình thủy nhiệt lót PPL: 10–20 triệu/bình. Loại Parr (Mỹ, Net-zero STT 19): khoảng 0,8–1 tỷ.</t>
        </is>
      </c>
      <c r="L13" s="2" t="inlineStr">
        <is>
          <t>Trùng model</t>
        </is>
      </c>
      <c r="M13" s="2" t="inlineStr">
        <is>
          <t>27</t>
        </is>
      </c>
    </row>
    <row r="14">
      <c r="A14" s="2" t="n">
        <v>13</v>
      </c>
      <c r="B14" s="2" t="inlineStr">
        <is>
          <t>Hệ chiết tách</t>
        </is>
      </c>
      <c r="C14" s="2" t="n">
        <v>1</v>
      </c>
      <c r="D14" s="7" t="inlineStr">
        <is>
          <t>Ước lượng</t>
        </is>
      </c>
      <c r="E14" s="2" t="inlineStr">
        <is>
          <t>Ước lượng thị trường VN</t>
        </is>
      </c>
      <c r="F14" s="2" t="n"/>
      <c r="G14" s="2" t="n"/>
      <c r="H14" s="8" t="n">
        <v>450000000</v>
      </c>
      <c r="I14" s="4">
        <f>IF(H14="","",C14*H14)</f>
        <v/>
      </c>
      <c r="J14" s="2" t="inlineStr">
        <is>
          <t>50 – 600 triệu</t>
        </is>
      </c>
      <c r="K14" s="2" t="inlineStr">
        <is>
          <t>Giả định hệ chiết Soxhlet tự động 6 vị trí (châu Âu). Bộ Soxhlet thủy tinh + bếp 6 vị trí: 50–80 triệu; giá chiết pha rắn (SPE) 12 vị trí: 30–50 triệu. Cần xác định loại trước khi chốt.</t>
        </is>
      </c>
      <c r="L14" s="2" t="inlineStr">
        <is>
          <t>Không có</t>
        </is>
      </c>
      <c r="M14" s="2" t="n"/>
    </row>
    <row r="15">
      <c r="A15" s="2" t="n">
        <v>14</v>
      </c>
      <c r="B15" s="2" t="inlineStr">
        <is>
          <t>Máy quang phổ UV-Vis V730 Jasco - Nhật</t>
        </is>
      </c>
      <c r="C15" s="2" t="n">
        <v>2</v>
      </c>
      <c r="D15" s="3" t="inlineStr">
        <is>
          <t>Tương đồng</t>
        </is>
      </c>
      <c r="E15" s="2" t="inlineStr">
        <is>
          <t>Tệp 4_Thuốc</t>
        </is>
      </c>
      <c r="F15" s="2" t="inlineStr">
        <is>
          <t>4 Thuốc / 76</t>
        </is>
      </c>
      <c r="G15" s="2" t="inlineStr">
        <is>
          <t>Máy quang phổ UV-VIS — Máy quang phổ UV-VIS</t>
        </is>
      </c>
      <c r="H15" s="4" t="n">
        <v>200000000</v>
      </c>
      <c r="I15" s="4">
        <f>IF(H15="","",C15*H15)</f>
        <v/>
      </c>
      <c r="J15" s="2" t="n"/>
      <c r="K15" s="2" t="inlineStr">
        <is>
          <t>Máy UV-Vis Shimadzu UV-1800 (hai chùm tia), tương đương V-730.</t>
        </is>
      </c>
      <c r="L15" s="2" t="inlineStr">
        <is>
          <t>Một phần</t>
        </is>
      </c>
      <c r="M15" s="2" t="inlineStr">
        <is>
          <t>22</t>
        </is>
      </c>
    </row>
    <row r="16">
      <c r="A16" s="2" t="n">
        <v>15</v>
      </c>
      <c r="B16" s="2" t="inlineStr">
        <is>
          <t>Máy sắc ký khí (đầu dò FID, TCD) Model: GC-2030 Hãng sản xuất: Shimadzu - Nhật</t>
        </is>
      </c>
      <c r="C16" s="2" t="n">
        <v>1</v>
      </c>
      <c r="D16" s="7" t="inlineStr">
        <is>
          <t>Ước lượng</t>
        </is>
      </c>
      <c r="E16" s="2" t="inlineStr">
        <is>
          <t>Ước lượng thị trường VN</t>
        </is>
      </c>
      <c r="F16" s="2" t="n"/>
      <c r="G16" s="2" t="n"/>
      <c r="H16" s="8" t="n">
        <v>2200000000</v>
      </c>
      <c r="I16" s="4">
        <f>IF(H16="","",C16*H16)</f>
        <v/>
      </c>
      <c r="J16" s="2" t="inlineStr">
        <is>
          <t>1.800 – 2.800 triệu</t>
        </is>
      </c>
      <c r="K16" s="2" t="inlineStr">
        <is>
          <t>GC-2030 với FID + TCD, bộ tiêm mẫu tự động, cột, phần mềm, máy tính, bình khí và van điều áp. Tham chiếu: GC-MS QP2020 NX trong tệp G9 là 5 tỷ.</t>
        </is>
      </c>
      <c r="L16" s="2" t="inlineStr">
        <is>
          <t>Trùng model</t>
        </is>
      </c>
      <c r="M16" s="2" t="inlineStr">
        <is>
          <t>36</t>
        </is>
      </c>
    </row>
    <row r="17">
      <c r="A17" s="2" t="n">
        <v>16</v>
      </c>
      <c r="B17" s="2" t="inlineStr">
        <is>
          <t>Thiết Bị Đo Kích Thước Hạt và Thế Zeta (Zetasizer Advance Range) Malvern Panalytical Model Zetasizer Pro</t>
        </is>
      </c>
      <c r="C17" s="2" t="n">
        <v>1</v>
      </c>
      <c r="D17" s="3" t="inlineStr">
        <is>
          <t>Tương đồng</t>
        </is>
      </c>
      <c r="E17" s="2" t="inlineStr">
        <is>
          <t>Tệp 4_Thuốc</t>
        </is>
      </c>
      <c r="F17" s="2" t="inlineStr">
        <is>
          <t>4 Thuốc / 59</t>
        </is>
      </c>
      <c r="G17" s="2" t="inlineStr">
        <is>
          <t>Máy đo nano size, điện thế zeta, trọng lượng phân tử protein — Máy đo nano size, điện thế zeta, trọng lượng phân tử protein</t>
        </is>
      </c>
      <c r="H17" s="4" t="n">
        <v>4389940000</v>
      </c>
      <c r="I17" s="4">
        <f>IF(H17="","",C17*H17)</f>
        <v/>
      </c>
      <c r="J17" s="2" t="n"/>
      <c r="K17" s="2" t="inlineStr">
        <is>
          <t>Máy đo kích thước hạt, thế zeta (Zetasizer, NIBS). Đây là hạng mục đắt nhất đã có giá.</t>
        </is>
      </c>
      <c r="L17" s="2" t="inlineStr">
        <is>
          <t>Không có</t>
        </is>
      </c>
      <c r="M17" s="2" t="n"/>
    </row>
    <row r="18">
      <c r="A18" s="2" t="n">
        <v>17</v>
      </c>
      <c r="B18" s="2" t="inlineStr">
        <is>
          <t>Tủ sấy đông khô Model: FDL-2000 Hãng sản xuất: Eyela - Nhật</t>
        </is>
      </c>
      <c r="C18" s="2" t="n">
        <v>2</v>
      </c>
      <c r="D18" s="3" t="inlineStr">
        <is>
          <t>Tương đồng</t>
        </is>
      </c>
      <c r="E18" s="2" t="inlineStr">
        <is>
          <t>Tệp G9 (2025)</t>
        </is>
      </c>
      <c r="F18" s="2" t="inlineStr">
        <is>
          <t>Append1 / 188</t>
        </is>
      </c>
      <c r="G18" s="2" t="inlineStr">
        <is>
          <t>Hệ thống đông khô — FDU-2110/Eyela/Nhật Bản Nhiệt độ bẫy lạnh: -80ºC, làm khô các mẫu với hàm lượng nước thấp Dung tích chứa đá (03L/một mẻ) Công suất làm lạnh: 500W x 02 • HFC (R4</t>
        </is>
      </c>
      <c r="H18" s="4" t="n">
        <v>900000000</v>
      </c>
      <c r="I18" s="4">
        <f>IF(H18="","",C18*H18)</f>
        <v/>
      </c>
      <c r="J18" s="2" t="n"/>
      <c r="K18" s="2" t="inlineStr">
        <is>
          <t>Eyela FDU-2110: bẫy lạnh -80 °C, 3 L/mẻ, bẫy đường kính 200 mm, trùng các thông số chính của FDL-2000. Giá cao; xem xét giảm còn 01 máy.</t>
        </is>
      </c>
      <c r="L18" s="2" t="inlineStr">
        <is>
          <t>Trùng model</t>
        </is>
      </c>
      <c r="M18" s="2" t="inlineStr">
        <is>
          <t>72</t>
        </is>
      </c>
    </row>
    <row r="19">
      <c r="A19" s="2" t="n">
        <v>18</v>
      </c>
      <c r="B19" s="2" t="inlineStr">
        <is>
          <t>Máy đồng nhất siêu âm dạng thanh Model: VCX 1500 Hãng sản xuất: Sonics - Mỹ</t>
        </is>
      </c>
      <c r="C19" s="2" t="n">
        <v>1</v>
      </c>
      <c r="D19" s="7" t="inlineStr">
        <is>
          <t>Ước lượng</t>
        </is>
      </c>
      <c r="E19" s="2" t="inlineStr">
        <is>
          <t>Ước lượng thị trường VN</t>
        </is>
      </c>
      <c r="F19" s="2" t="n"/>
      <c r="G19" s="2" t="n"/>
      <c r="H19" s="8" t="n">
        <v>520000000</v>
      </c>
      <c r="I19" s="4">
        <f>IF(H19="","",C19*H19)</f>
        <v/>
      </c>
      <c r="J19" s="2" t="inlineStr">
        <is>
          <t>450 – 650 triệu</t>
        </is>
      </c>
      <c r="K19" s="2" t="inlineStr">
        <is>
          <t>Quy đổi từ giá niêm yết VCX-1500-220 (kèm đầu dò, booster) 12.550 USD tại Mỹ, 14.100 EUR chưa VAT tại châu Âu; đối chiếu VC505 (500 W) = 320 triệu trong tệp 4_Thuốc.</t>
        </is>
      </c>
      <c r="L19" s="2" t="inlineStr">
        <is>
          <t>Trùng model</t>
        </is>
      </c>
      <c r="M19" s="2" t="inlineStr">
        <is>
          <t>23</t>
        </is>
      </c>
    </row>
    <row r="20">
      <c r="A20" s="2" t="n">
        <v>19</v>
      </c>
      <c r="B20" s="2" t="inlineStr">
        <is>
          <t>Máy đồng hóa tốc độ cao T25 digital ultra-turrax IKA - Đức</t>
        </is>
      </c>
      <c r="C20" s="2" t="n">
        <v>1</v>
      </c>
      <c r="D20" s="5" t="inlineStr">
        <is>
          <t>Trùng model</t>
        </is>
      </c>
      <c r="E20" s="2" t="inlineStr">
        <is>
          <t>Tệp G9 (2025)</t>
        </is>
      </c>
      <c r="F20" s="2" t="inlineStr">
        <is>
          <t>Append1 / 158</t>
        </is>
      </c>
      <c r="G20" s="2" t="inlineStr">
        <is>
          <t>Máy khuấy nhũ hoá tốc độ cao — T25 digital/IKA/Malaysia Dung tích tối thiểu. (H2O): 0.001 l Dung tích tối đa (H2O): 02 l Độ nhớt tối đa: 5000 mPas Phạm vi tốc độ: 3000 - 25000 rpm Độ lệch tốc</t>
        </is>
      </c>
      <c r="H20" s="4" t="n">
        <v>135000000</v>
      </c>
      <c r="I20" s="4">
        <f>IF(H20="","",C20*H20)</f>
        <v/>
      </c>
      <c r="J20" s="2" t="n"/>
      <c r="K20" s="2" t="inlineStr">
        <is>
          <t>Cùng model IKA T25 digital (giá ở sheet Append1).</t>
        </is>
      </c>
      <c r="L20" s="2" t="inlineStr">
        <is>
          <t>Không có</t>
        </is>
      </c>
      <c r="M20" s="2" t="n"/>
    </row>
    <row r="21">
      <c r="A21" s="2" t="n">
        <v>20</v>
      </c>
      <c r="B21" s="2" t="inlineStr">
        <is>
          <t>Máy ly tâm tốc độ cao (có làm lạnh) Model: Z032-HK-E Hãng sản xuất: HERMLE - Benchmark</t>
        </is>
      </c>
      <c r="C21" s="2" t="n">
        <v>1</v>
      </c>
      <c r="D21" s="3" t="inlineStr">
        <is>
          <t>Tương đồng</t>
        </is>
      </c>
      <c r="E21" s="2" t="inlineStr">
        <is>
          <t>Tệp G9 (2025)</t>
        </is>
      </c>
      <c r="F21" s="2" t="inlineStr">
        <is>
          <t>3 CNTBĐV / 24</t>
        </is>
      </c>
      <c r="G21" s="2" t="inlineStr">
        <is>
          <t>Máy ly tâm lạnh đa năng — Tốc độ tối đa: 18.000 vòng / phút RCF tối đa: 23,542xg Sức chứa tối đa của rotor: 4 x 200ml Dải tốc độ: 200 – 18,000 vòng / phút Dải nhiệt độ: -20oC ~ 40oC Thời</t>
        </is>
      </c>
      <c r="H21" s="4" t="n">
        <v>479210000</v>
      </c>
      <c r="I21" s="4">
        <f>IF(H21="","",C21*H21)</f>
        <v/>
      </c>
      <c r="J21" s="2" t="n"/>
      <c r="K21" s="2" t="inlineStr">
        <is>
          <t>Ly tâm lạnh đa năng 18.000 vòng/phút, 23.542 ×g, rotor 4 × 200 mL (Hermle Z327K).</t>
        </is>
      </c>
      <c r="L21" s="2" t="inlineStr">
        <is>
          <t>Không có</t>
        </is>
      </c>
      <c r="M21" s="2" t="n"/>
    </row>
    <row r="22">
      <c r="A22" s="2" t="n">
        <v>21</v>
      </c>
      <c r="B22" s="2" t="inlineStr">
        <is>
          <t>Máy TGA-FTIR</t>
        </is>
      </c>
      <c r="C22" s="2" t="n">
        <v>1</v>
      </c>
      <c r="D22" s="7" t="inlineStr">
        <is>
          <t>Ước lượng</t>
        </is>
      </c>
      <c r="E22" s="2" t="inlineStr">
        <is>
          <t>Ước lượng thị trường VN</t>
        </is>
      </c>
      <c r="F22" s="2" t="n"/>
      <c r="G22" s="2" t="n"/>
      <c r="H22" s="8" t="n">
        <v>3200000000</v>
      </c>
      <c r="I22" s="4">
        <f>IF(H22="","",C22*H22)</f>
        <v/>
      </c>
      <c r="J22" s="2" t="inlineStr">
        <is>
          <t>2.800 – 4.500 triệu</t>
        </is>
      </c>
      <c r="K22" s="2" t="inlineStr">
        <is>
          <t>TGA tầm trung (~1,2–1,5 tỷ) + FTIR có ATR (~0,8–1 tỷ) + bộ ghép nối và phần mềm (~0,6–0,8 tỷ). Tham chiếu: TGA/DSC 3+ Mettler (1600 °C) = 3,70 tỷ; FTIR Bruker Vertex 70v = 1,2 tỷ (tệp G9).</t>
        </is>
      </c>
      <c r="L22" s="2" t="inlineStr">
        <is>
          <t>Một phần</t>
        </is>
      </c>
      <c r="M22" s="2" t="inlineStr">
        <is>
          <t>55, 2</t>
        </is>
      </c>
    </row>
    <row r="23">
      <c r="A23" s="2" t="n">
        <v>22</v>
      </c>
      <c r="B23" s="2" t="inlineStr">
        <is>
          <t>Máy quang phổ hấp thụ nguyên tử ZA4300 Hitachi - Nhật</t>
        </is>
      </c>
      <c r="C23" s="2" t="n">
        <v>1</v>
      </c>
      <c r="D23" s="7" t="inlineStr">
        <is>
          <t>Ước lượng</t>
        </is>
      </c>
      <c r="E23" s="2" t="inlineStr">
        <is>
          <t>Ước lượng thị trường VN</t>
        </is>
      </c>
      <c r="F23" s="2" t="n"/>
      <c r="G23" s="2" t="n"/>
      <c r="H23" s="8" t="n">
        <v>1500000000</v>
      </c>
      <c r="I23" s="4">
        <f>IF(H23="","",C23*H23)</f>
        <v/>
      </c>
      <c r="J23" s="2" t="inlineStr">
        <is>
          <t>1.300 – 1.800 triệu</t>
        </is>
      </c>
      <c r="K23" s="2" t="inlineStr">
        <is>
          <t>AAS ngọn lửa hiệu chỉnh Zeeman, kèm máy nén khí, bình acetylen, đèn, chụp hút, máy tính.</t>
        </is>
      </c>
      <c r="L23" s="2" t="inlineStr">
        <is>
          <t>Không có</t>
        </is>
      </c>
      <c r="M23" s="2" t="n"/>
    </row>
    <row r="24">
      <c r="A24" s="2" t="n">
        <v>23</v>
      </c>
      <c r="B24" s="2" t="inlineStr">
        <is>
          <t>Máy đo kéo đa năng</t>
        </is>
      </c>
      <c r="C24" s="2" t="n">
        <v>1</v>
      </c>
      <c r="D24" s="7" t="inlineStr">
        <is>
          <t>Ước lượng</t>
        </is>
      </c>
      <c r="E24" s="2" t="inlineStr">
        <is>
          <t>Ước lượng thị trường VN</t>
        </is>
      </c>
      <c r="F24" s="2" t="n"/>
      <c r="G24" s="2" t="n"/>
      <c r="H24" s="8" t="n">
        <v>800000000</v>
      </c>
      <c r="I24" s="4">
        <f>IF(H24="","",C24*H24)</f>
        <v/>
      </c>
      <c r="J24" s="2" t="inlineStr">
        <is>
          <t>300 – 1.300 triệu</t>
        </is>
      </c>
      <c r="K24" s="2" t="inlineStr">
        <is>
          <t>Máy thử kéo vạn năng điện cơ 5–10 kN: hãng Nhật/châu Âu khoảng 1,0–1,3 tỷ; hãng Trung Quốc 250–400 triệu. Cần xác định tải trọng.</t>
        </is>
      </c>
      <c r="L24" s="2" t="inlineStr">
        <is>
          <t>Một phần</t>
        </is>
      </c>
      <c r="M24" s="2" t="inlineStr">
        <is>
          <t>9</t>
        </is>
      </c>
    </row>
    <row r="25">
      <c r="A25" s="2" t="n">
        <v>24</v>
      </c>
      <c r="B25" s="2" t="inlineStr">
        <is>
          <t>Máy đo độ dẫn đa năng 4 đầu</t>
        </is>
      </c>
      <c r="C25" s="2" t="n">
        <v>1</v>
      </c>
      <c r="D25" s="7" t="inlineStr">
        <is>
          <t>Ước lượng</t>
        </is>
      </c>
      <c r="E25" s="2" t="inlineStr">
        <is>
          <t>Ước lượng thị trường VN</t>
        </is>
      </c>
      <c r="F25" s="2" t="n"/>
      <c r="G25" s="2" t="n"/>
      <c r="H25" s="8" t="n">
        <v>300000000</v>
      </c>
      <c r="I25" s="4">
        <f>IF(H25="","",C25*H25)</f>
        <v/>
      </c>
      <c r="J25" s="2" t="inlineStr">
        <is>
          <t>200 – 450 triệu</t>
        </is>
      </c>
      <c r="K25" s="2" t="inlineStr">
        <is>
          <t>Giả định máy đo điện trở mặt 4 mũi dò cho màng mỏng (có nguồn dòng, phần mềm). Nếu là máy đo độ dẫn dung dịch đa kênh: 50–100 triệu.</t>
        </is>
      </c>
      <c r="L25" s="2" t="inlineStr">
        <is>
          <t>Không có</t>
        </is>
      </c>
      <c r="M25" s="2" t="n"/>
    </row>
    <row r="26">
      <c r="A26" s="2" t="n">
        <v>25</v>
      </c>
      <c r="B26" s="2" t="inlineStr">
        <is>
          <t>Lò nung ống Model: KJ-TCVD1200-S80LK2W Hãng sản xuất: KJ Technology - TQ</t>
        </is>
      </c>
      <c r="C26" s="2" t="n">
        <v>2</v>
      </c>
      <c r="D26" s="3" t="inlineStr">
        <is>
          <t>Tương đồng</t>
        </is>
      </c>
      <c r="E26" s="2" t="inlineStr">
        <is>
          <t>Tệp G9 (2025)</t>
        </is>
      </c>
      <c r="F26" s="2" t="inlineStr">
        <is>
          <t>Append1 / 1011</t>
        </is>
      </c>
      <c r="G26" s="2" t="inlineStr">
        <is>
          <t>Lò nung ống 2 vùng nhiệt độ - có bơm chân không — GSS70600/Hàn Quốc</t>
        </is>
      </c>
      <c r="H26" s="4" t="n">
        <v>500000000</v>
      </c>
      <c r="I26" s="4">
        <f>IF(H26="","",C26*H26)</f>
        <v/>
      </c>
      <c r="J26" s="2" t="n"/>
      <c r="K26" s="2" t="inlineStr">
        <is>
          <t>Lò nung ống 2 vùng có bơm chân không (GSS70600, Hàn Quốc); giá có thể cao hơn lò KJ (Trung Quốc).</t>
        </is>
      </c>
      <c r="L26" s="2" t="inlineStr">
        <is>
          <t>Trùng model</t>
        </is>
      </c>
      <c r="M26" s="2" t="inlineStr">
        <is>
          <t>41, 46</t>
        </is>
      </c>
    </row>
    <row r="27">
      <c r="A27" s="2" t="n">
        <v>26</v>
      </c>
      <c r="B27" s="2" t="inlineStr">
        <is>
          <t>Hệ thống máy đo độ hòa tan, 8 vị trí + hệ thống lấy mẫu tự động 708-DS Dissolution Apparatus, 8-position Agilent - Mỹ</t>
        </is>
      </c>
      <c r="C27" s="2" t="n">
        <v>1</v>
      </c>
      <c r="D27" s="7" t="inlineStr">
        <is>
          <t>Ước lượng</t>
        </is>
      </c>
      <c r="E27" s="2" t="inlineStr">
        <is>
          <t>Ước lượng thị trường VN</t>
        </is>
      </c>
      <c r="F27" s="2" t="n"/>
      <c r="G27" s="2" t="n"/>
      <c r="H27" s="8" t="n">
        <v>3000000000</v>
      </c>
      <c r="I27" s="4">
        <f>IF(H27="","",C27*H27)</f>
        <v/>
      </c>
      <c r="J27" s="2" t="inlineStr">
        <is>
          <t>2.500 – 3.500 triệu</t>
        </is>
      </c>
      <c r="K27" s="2" t="inlineStr">
        <is>
          <t>708-DS 8 vị trí + 850-DS lấy mẫu tự động + UV-Vis đo trực tuyến và phần mềm. Không kèm UV-Vis: khoảng 2,0 tỷ.</t>
        </is>
      </c>
      <c r="L27" s="2" t="inlineStr">
        <is>
          <t>Không có</t>
        </is>
      </c>
      <c r="M27" s="2" t="n"/>
    </row>
    <row r="28">
      <c r="A28" s="2" t="n">
        <v>27</v>
      </c>
      <c r="B28" s="2" t="inlineStr">
        <is>
          <t>Bộ điều chỉnh điện áp đa kênh gồm 8 kênh, EIS*1 Ký mã hiệu: CS310X (Option C, 8-channel, EIS*1) Hãng sản xuất: Corrtest Xuất xứ: Trung Quốc</t>
        </is>
      </c>
      <c r="C28" s="2" t="n">
        <v>1</v>
      </c>
      <c r="D28" s="7" t="inlineStr">
        <is>
          <t>Ước lượng</t>
        </is>
      </c>
      <c r="E28" s="2" t="inlineStr">
        <is>
          <t>Ước lượng thị trường VN</t>
        </is>
      </c>
      <c r="F28" s="2" t="n"/>
      <c r="G28" s="2" t="n"/>
      <c r="H28" s="8" t="n">
        <v>500000000</v>
      </c>
      <c r="I28" s="4">
        <f>IF(H28="","",C28*H28)</f>
        <v/>
      </c>
      <c r="J28" s="2" t="inlineStr">
        <is>
          <t>400 – 650 triệu</t>
        </is>
      </c>
      <c r="K28" s="2" t="inlineStr">
        <is>
          <t>Corrtest CS310X Option C (8 kênh, 1 kênh EIS; model có thật theo catalogue hãng). Đối chiếu: CS350M 1 kênh EIS = 80 triệu (tệp G9).</t>
        </is>
      </c>
      <c r="L28" s="2" t="inlineStr">
        <is>
          <t>Một phần</t>
        </is>
      </c>
      <c r="M28" s="2" t="inlineStr">
        <is>
          <t>12</t>
        </is>
      </c>
    </row>
    <row r="29">
      <c r="A29" s="2" t="n">
        <v>28</v>
      </c>
      <c r="B29" s="2" t="inlineStr">
        <is>
          <t>Máy đo phổ quang phát quang PL</t>
        </is>
      </c>
      <c r="C29" s="2" t="n">
        <v>1</v>
      </c>
      <c r="D29" s="7" t="inlineStr">
        <is>
          <t>Ước lượng</t>
        </is>
      </c>
      <c r="E29" s="2" t="inlineStr">
        <is>
          <t>Ước lượng thị trường VN</t>
        </is>
      </c>
      <c r="F29" s="2" t="n"/>
      <c r="G29" s="2" t="n"/>
      <c r="H29" s="8" t="n">
        <v>1500000000</v>
      </c>
      <c r="I29" s="4">
        <f>IF(H29="","",C29*H29)</f>
        <v/>
      </c>
      <c r="J29" s="2" t="inlineStr">
        <is>
          <t>1.000 – 3.000 triệu</t>
        </is>
      </c>
      <c r="K29" s="2" t="inlineStr">
        <is>
          <t>Máy huỳnh quang để bàn đèn Xe, có giá đo mẫu rắn (tầm trung). Dòng cao cấp (Horiba FluoroMax Plus): 2,5–3,0 tỷ.</t>
        </is>
      </c>
      <c r="L29" s="2" t="inlineStr">
        <is>
          <t>Tương đồng</t>
        </is>
      </c>
      <c r="M29" s="2" t="inlineStr">
        <is>
          <t>42</t>
        </is>
      </c>
    </row>
    <row r="30">
      <c r="A30" s="2" t="inlineStr"/>
      <c r="B30" s="9" t="inlineStr">
        <is>
          <t>TỔNG (giá danh mục + giá liên quan + ước lượng)</t>
        </is>
      </c>
      <c r="C30" s="2" t="inlineStr"/>
      <c r="D30" s="2" t="inlineStr"/>
      <c r="E30" s="2" t="inlineStr"/>
      <c r="F30" s="2" t="inlineStr"/>
      <c r="G30" s="2" t="inlineStr"/>
      <c r="H30" s="4" t="inlineStr"/>
      <c r="I30" s="10">
        <f>SUM(I2:I29)</f>
        <v/>
      </c>
      <c r="J30" s="2" t="inlineStr"/>
      <c r="K30" s="2" t="inlineStr"/>
      <c r="L30" s="2" t="n"/>
      <c r="M30" s="2" t="n"/>
    </row>
    <row r="31">
      <c r="A31" s="2" t="inlineStr"/>
      <c r="B31" s="9" t="inlineStr">
        <is>
          <t>Trong đó: phần ước lượng</t>
        </is>
      </c>
      <c r="C31" s="2" t="inlineStr"/>
      <c r="D31" s="2" t="inlineStr"/>
      <c r="E31" s="2" t="inlineStr"/>
      <c r="F31" s="2" t="inlineStr"/>
      <c r="G31" s="2" t="inlineStr"/>
      <c r="H31" s="4" t="inlineStr"/>
      <c r="I31" s="10">
        <f>SUMIF(D2:D29,"Ước lượng",I2:I29)</f>
        <v/>
      </c>
      <c r="J31" s="2" t="inlineStr"/>
      <c r="K31" s="2" t="inlineStr"/>
      <c r="L31" s="2" t="n"/>
      <c r="M31" s="2" t="n"/>
    </row>
    <row r="32">
      <c r="A32" s="2" t="inlineStr"/>
      <c r="B32" s="9" t="inlineStr">
        <is>
          <t>Tổng kinh phí tối đa</t>
        </is>
      </c>
      <c r="C32" s="2" t="inlineStr"/>
      <c r="D32" s="2" t="inlineStr"/>
      <c r="E32" s="2" t="inlineStr"/>
      <c r="F32" s="2" t="inlineStr"/>
      <c r="G32" s="2" t="inlineStr"/>
      <c r="H32" s="4" t="inlineStr"/>
      <c r="I32" s="10" t="n">
        <v>15000000000</v>
      </c>
      <c r="J32" s="2" t="inlineStr"/>
      <c r="K32" s="2" t="inlineStr"/>
      <c r="L32" s="2" t="n"/>
      <c r="M32" s="2" t="n"/>
    </row>
    <row r="33">
      <c r="A33" s="2" t="inlineStr"/>
      <c r="B33" s="9" t="inlineStr">
        <is>
          <t>Chênh lệch (âm = vượt)</t>
        </is>
      </c>
      <c r="C33" s="2" t="inlineStr"/>
      <c r="D33" s="2" t="inlineStr"/>
      <c r="E33" s="2" t="inlineStr"/>
      <c r="F33" s="2" t="inlineStr"/>
      <c r="G33" s="2" t="inlineStr"/>
      <c r="H33" s="4" t="inlineStr"/>
      <c r="I33" s="10">
        <f>I32-I30</f>
        <v/>
      </c>
      <c r="J33" s="2" t="inlineStr"/>
      <c r="K33" s="2" t="inlineStr"/>
      <c r="L33" s="2" t="n"/>
      <c r="M33"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9" customWidth="1" min="3" max="3"/>
    <col width="15" customWidth="1" min="4" max="4"/>
    <col width="17" customWidth="1" min="5" max="5"/>
    <col width="9" customWidth="1" min="6" max="6"/>
    <col width="15" customWidth="1" min="7" max="7"/>
    <col width="17" customWidth="1" min="8" max="8"/>
    <col width="16" customWidth="1" min="9" max="9"/>
    <col width="58" customWidth="1" min="10" max="10"/>
  </cols>
  <sheetData>
    <row r="1">
      <c r="A1" s="1" t="inlineStr">
        <is>
          <t>STT</t>
        </is>
      </c>
      <c r="B1" s="1" t="inlineStr">
        <is>
          <t>Thiết bị</t>
        </is>
      </c>
      <c r="C1" s="1" t="inlineStr">
        <is>
          <t>SL đề cương</t>
        </is>
      </c>
      <c r="D1" s="1" t="inlineStr">
        <is>
          <t>Đơn giá tạm (đồng)</t>
        </is>
      </c>
      <c r="E1" s="1" t="inlineStr">
        <is>
          <t>Thành tiền theo đề cương</t>
        </is>
      </c>
      <c r="F1" s="1" t="inlineStr">
        <is>
          <t>SL đề xuất</t>
        </is>
      </c>
      <c r="G1" s="1" t="inlineStr">
        <is>
          <t>Đơn giá đề xuất (đồng)</t>
        </is>
      </c>
      <c r="H1" s="1" t="inlineStr">
        <is>
          <t>Thành tiền theo đề xuất</t>
        </is>
      </c>
      <c r="I1" s="1" t="inlineStr">
        <is>
          <t>Chênh lệch</t>
        </is>
      </c>
      <c r="J1" s="1" t="inlineStr">
        <is>
          <t>Lý do điều chỉnh</t>
        </is>
      </c>
    </row>
    <row r="2">
      <c r="A2" s="2" t="n">
        <v>1</v>
      </c>
      <c r="B2" s="2" t="inlineStr">
        <is>
          <t>Tủ hút Phượng Hải - Việt Nam</t>
        </is>
      </c>
      <c r="C2" s="2">
        <f>'Đối sánh giá'!C2</f>
        <v/>
      </c>
      <c r="D2" s="4">
        <f>'Đối sánh giá'!H2</f>
        <v/>
      </c>
      <c r="E2" s="4">
        <f>C2*D2</f>
        <v/>
      </c>
      <c r="F2" s="2">
        <f>C2</f>
        <v/>
      </c>
      <c r="G2" s="4">
        <f>D2</f>
        <v/>
      </c>
      <c r="H2" s="4">
        <f>F2*G2</f>
        <v/>
      </c>
      <c r="I2" s="4">
        <f>H2-E2</f>
        <v/>
      </c>
      <c r="J2" s="2" t="n"/>
    </row>
    <row r="3">
      <c r="A3" s="2" t="n">
        <v>2</v>
      </c>
      <c r="B3" s="2" t="inlineStr">
        <is>
          <t>Cân 4 số BCE224i-1S Sartorius - Trung Quốc</t>
        </is>
      </c>
      <c r="C3" s="2">
        <f>'Đối sánh giá'!C3</f>
        <v/>
      </c>
      <c r="D3" s="4">
        <f>'Đối sánh giá'!H3</f>
        <v/>
      </c>
      <c r="E3" s="4">
        <f>C3*D3</f>
        <v/>
      </c>
      <c r="F3" s="2">
        <f>C3</f>
        <v/>
      </c>
      <c r="G3" s="4">
        <f>D3</f>
        <v/>
      </c>
      <c r="H3" s="4">
        <f>F3*G3</f>
        <v/>
      </c>
      <c r="I3" s="4">
        <f>H3-E3</f>
        <v/>
      </c>
      <c r="J3" s="2" t="n"/>
    </row>
    <row r="4">
      <c r="A4" s="2" t="n">
        <v>3</v>
      </c>
      <c r="B4" s="2" t="inlineStr">
        <is>
          <t>Cân 2 số SPX6201 Ohaus - Trung Quốc</t>
        </is>
      </c>
      <c r="C4" s="2">
        <f>'Đối sánh giá'!C4</f>
        <v/>
      </c>
      <c r="D4" s="4">
        <f>'Đối sánh giá'!H4</f>
        <v/>
      </c>
      <c r="E4" s="4">
        <f>C4*D4</f>
        <v/>
      </c>
      <c r="F4" s="2">
        <f>C4</f>
        <v/>
      </c>
      <c r="G4" s="4">
        <f>D4</f>
        <v/>
      </c>
      <c r="H4" s="4">
        <f>F4*G4</f>
        <v/>
      </c>
      <c r="I4" s="4">
        <f>H4-E4</f>
        <v/>
      </c>
      <c r="J4" s="2" t="n"/>
    </row>
    <row r="5">
      <c r="A5" s="2" t="n">
        <v>4</v>
      </c>
      <c r="B5" s="2" t="inlineStr">
        <is>
          <t>Máy khuấy từ gia nhiệt AREC 7 Velp - Ý</t>
        </is>
      </c>
      <c r="C5" s="2">
        <f>'Đối sánh giá'!C5</f>
        <v/>
      </c>
      <c r="D5" s="4">
        <f>'Đối sánh giá'!H5</f>
        <v/>
      </c>
      <c r="E5" s="4">
        <f>C5*D5</f>
        <v/>
      </c>
      <c r="F5" s="2">
        <f>C5</f>
        <v/>
      </c>
      <c r="G5" s="4">
        <f>D5</f>
        <v/>
      </c>
      <c r="H5" s="4">
        <f>F5*G5</f>
        <v/>
      </c>
      <c r="I5" s="4">
        <f>H5-E5</f>
        <v/>
      </c>
      <c r="J5" s="2" t="n"/>
    </row>
    <row r="6">
      <c r="A6" s="2" t="n">
        <v>5</v>
      </c>
      <c r="B6" s="2" t="inlineStr">
        <is>
          <t>Bể rửa siêu âm thể tích 6 lít Model: WUC-D06H Hãng sản xuất: Daihan - Hàn Quốc</t>
        </is>
      </c>
      <c r="C6" s="2">
        <f>'Đối sánh giá'!C6</f>
        <v/>
      </c>
      <c r="D6" s="4">
        <f>'Đối sánh giá'!H6</f>
        <v/>
      </c>
      <c r="E6" s="4">
        <f>C6*D6</f>
        <v/>
      </c>
      <c r="F6" s="2">
        <f>C6</f>
        <v/>
      </c>
      <c r="G6" s="4">
        <f>D6</f>
        <v/>
      </c>
      <c r="H6" s="4">
        <f>F6*G6</f>
        <v/>
      </c>
      <c r="I6" s="4">
        <f>H6-E6</f>
        <v/>
      </c>
      <c r="J6" s="2" t="n"/>
    </row>
    <row r="7">
      <c r="A7" s="2" t="n">
        <v>6</v>
      </c>
      <c r="B7" s="2" t="inlineStr">
        <is>
          <t>Tủ sấy UN55 Memmert - Đức</t>
        </is>
      </c>
      <c r="C7" s="2">
        <f>'Đối sánh giá'!C7</f>
        <v/>
      </c>
      <c r="D7" s="4">
        <f>'Đối sánh giá'!H7</f>
        <v/>
      </c>
      <c r="E7" s="4">
        <f>C7*D7</f>
        <v/>
      </c>
      <c r="F7" s="2">
        <f>C7</f>
        <v/>
      </c>
      <c r="G7" s="4">
        <f>D7</f>
        <v/>
      </c>
      <c r="H7" s="4">
        <f>F7*G7</f>
        <v/>
      </c>
      <c r="I7" s="4">
        <f>H7-E7</f>
        <v/>
      </c>
      <c r="J7" s="2" t="n"/>
    </row>
    <row r="8">
      <c r="A8" s="2" t="n">
        <v>7</v>
      </c>
      <c r="B8" s="2" t="inlineStr">
        <is>
          <t>Tủ lạnh Hòa Phát - Việt Nam</t>
        </is>
      </c>
      <c r="C8" s="2">
        <f>'Đối sánh giá'!C8</f>
        <v/>
      </c>
      <c r="D8" s="4">
        <f>'Đối sánh giá'!H8</f>
        <v/>
      </c>
      <c r="E8" s="4">
        <f>C8*D8</f>
        <v/>
      </c>
      <c r="F8" s="2">
        <f>C8</f>
        <v/>
      </c>
      <c r="G8" s="4">
        <f>D8</f>
        <v/>
      </c>
      <c r="H8" s="4">
        <f>F8*G8</f>
        <v/>
      </c>
      <c r="I8" s="4">
        <f>H8-E8</f>
        <v/>
      </c>
      <c r="J8" s="2" t="n"/>
    </row>
    <row r="9">
      <c r="A9" s="2" t="n">
        <v>8</v>
      </c>
      <c r="B9" s="2" t="inlineStr">
        <is>
          <t>Tủ đông Hòa Phát - Việt Nam</t>
        </is>
      </c>
      <c r="C9" s="2">
        <f>'Đối sánh giá'!C9</f>
        <v/>
      </c>
      <c r="D9" s="4">
        <f>'Đối sánh giá'!H9</f>
        <v/>
      </c>
      <c r="E9" s="4">
        <f>C9*D9</f>
        <v/>
      </c>
      <c r="F9" s="2">
        <f>C9</f>
        <v/>
      </c>
      <c r="G9" s="4">
        <f>D9</f>
        <v/>
      </c>
      <c r="H9" s="4">
        <f>F9*G9</f>
        <v/>
      </c>
      <c r="I9" s="4">
        <f>H9-E9</f>
        <v/>
      </c>
      <c r="J9" s="2" t="n"/>
    </row>
    <row r="10">
      <c r="A10" s="2" t="n">
        <v>9</v>
      </c>
      <c r="B10" s="2" t="inlineStr">
        <is>
          <t>Máy chưng cất nước 2 lần Model: WSC/4D Hãng sản xuất: HAMILTON - Anh</t>
        </is>
      </c>
      <c r="C10" s="2">
        <f>'Đối sánh giá'!C10</f>
        <v/>
      </c>
      <c r="D10" s="4">
        <f>'Đối sánh giá'!H10</f>
        <v/>
      </c>
      <c r="E10" s="4">
        <f>C10*D10</f>
        <v/>
      </c>
      <c r="F10" s="2">
        <f>C10</f>
        <v/>
      </c>
      <c r="G10" s="4">
        <f>D10</f>
        <v/>
      </c>
      <c r="H10" s="4">
        <f>F10*G10</f>
        <v/>
      </c>
      <c r="I10" s="4">
        <f>H10-E10</f>
        <v/>
      </c>
      <c r="J10" s="2" t="n"/>
    </row>
    <row r="11">
      <c r="A11" s="2" t="n">
        <v>10</v>
      </c>
      <c r="B11" s="2" t="inlineStr">
        <is>
          <t>Hệ nước siêu sạch</t>
        </is>
      </c>
      <c r="C11" s="2">
        <f>'Đối sánh giá'!C11</f>
        <v/>
      </c>
      <c r="D11" s="4">
        <f>'Đối sánh giá'!H11</f>
        <v/>
      </c>
      <c r="E11" s="4">
        <f>C11*D11</f>
        <v/>
      </c>
      <c r="F11" s="2">
        <f>C11</f>
        <v/>
      </c>
      <c r="G11" s="4">
        <f>D11</f>
        <v/>
      </c>
      <c r="H11" s="4">
        <f>F11*G11</f>
        <v/>
      </c>
      <c r="I11" s="4">
        <f>H11-E11</f>
        <v/>
      </c>
      <c r="J11" s="2" t="n"/>
    </row>
    <row r="12">
      <c r="A12" s="2" t="n">
        <v>11</v>
      </c>
      <c r="B12" s="2" t="inlineStr">
        <is>
          <t>Máy cô quay chân không và phụ kiện Model: N-1300E-W Hãng sản xuất: Tokyo Rikakikai (Eyela) - Nhật Bản</t>
        </is>
      </c>
      <c r="C12" s="2">
        <f>'Đối sánh giá'!C12</f>
        <v/>
      </c>
      <c r="D12" s="4">
        <f>'Đối sánh giá'!H12</f>
        <v/>
      </c>
      <c r="E12" s="4">
        <f>C12*D12</f>
        <v/>
      </c>
      <c r="F12" s="2">
        <f>C12</f>
        <v/>
      </c>
      <c r="G12" s="4">
        <f>D12</f>
        <v/>
      </c>
      <c r="H12" s="4">
        <f>F12*G12</f>
        <v/>
      </c>
      <c r="I12" s="4">
        <f>H12-E12</f>
        <v/>
      </c>
      <c r="J12" s="2" t="n"/>
    </row>
    <row r="13">
      <c r="A13" s="2" t="n">
        <v>12</v>
      </c>
      <c r="B13" s="2" t="inlineStr">
        <is>
          <t>Hệ phản ứng kiểm soát nhiệt, áp suất Model: TOP-HP500 Hãng sản xuất: Toption - Trung Quốc</t>
        </is>
      </c>
      <c r="C13" s="2">
        <f>'Đối sánh giá'!C13</f>
        <v/>
      </c>
      <c r="D13" s="4">
        <f>'Đối sánh giá'!H13</f>
        <v/>
      </c>
      <c r="E13" s="4">
        <f>C13*D13</f>
        <v/>
      </c>
      <c r="F13" s="2">
        <f>C13</f>
        <v/>
      </c>
      <c r="G13" s="4">
        <f>D13</f>
        <v/>
      </c>
      <c r="H13" s="4">
        <f>F13*G13</f>
        <v/>
      </c>
      <c r="I13" s="4">
        <f>H13-E13</f>
        <v/>
      </c>
      <c r="J13" s="2" t="n"/>
    </row>
    <row r="14">
      <c r="A14" s="2" t="n">
        <v>13</v>
      </c>
      <c r="B14" s="2" t="inlineStr">
        <is>
          <t>Hệ chiết tách</t>
        </is>
      </c>
      <c r="C14" s="2">
        <f>'Đối sánh giá'!C14</f>
        <v/>
      </c>
      <c r="D14" s="4">
        <f>'Đối sánh giá'!H14</f>
        <v/>
      </c>
      <c r="E14" s="4">
        <f>C14*D14</f>
        <v/>
      </c>
      <c r="F14" s="2">
        <f>C14</f>
        <v/>
      </c>
      <c r="G14" s="4">
        <f>D14</f>
        <v/>
      </c>
      <c r="H14" s="4">
        <f>F14*G14</f>
        <v/>
      </c>
      <c r="I14" s="4">
        <f>H14-E14</f>
        <v/>
      </c>
      <c r="J14" s="2" t="n"/>
    </row>
    <row r="15">
      <c r="A15" s="2" t="n">
        <v>14</v>
      </c>
      <c r="B15" s="2" t="inlineStr">
        <is>
          <t>Máy quang phổ UV-Vis V730 Jasco - Nhật</t>
        </is>
      </c>
      <c r="C15" s="2">
        <f>'Đối sánh giá'!C15</f>
        <v/>
      </c>
      <c r="D15" s="4">
        <f>'Đối sánh giá'!H15</f>
        <v/>
      </c>
      <c r="E15" s="4">
        <f>C15*D15</f>
        <v/>
      </c>
      <c r="F15" s="7" t="n">
        <v>1</v>
      </c>
      <c r="G15" s="8">
        <f>D15</f>
        <v/>
      </c>
      <c r="H15" s="4">
        <f>F15*G15</f>
        <v/>
      </c>
      <c r="I15" s="4">
        <f>H15-E15</f>
        <v/>
      </c>
      <c r="J15" s="7" t="inlineStr">
        <is>
          <t>Giữ 01 UV-Vis; Khoa nhiều khả năng đã có UV-Vis.</t>
        </is>
      </c>
    </row>
    <row r="16">
      <c r="A16" s="2" t="n">
        <v>15</v>
      </c>
      <c r="B16" s="2" t="inlineStr">
        <is>
          <t>Máy sắc ký khí (đầu dò FID, TCD) Model: GC-2030 Hãng sản xuất: Shimadzu - Nhật</t>
        </is>
      </c>
      <c r="C16" s="2">
        <f>'Đối sánh giá'!C16</f>
        <v/>
      </c>
      <c r="D16" s="4">
        <f>'Đối sánh giá'!H16</f>
        <v/>
      </c>
      <c r="E16" s="4">
        <f>C16*D16</f>
        <v/>
      </c>
      <c r="F16" s="2">
        <f>C16</f>
        <v/>
      </c>
      <c r="G16" s="4">
        <f>D16</f>
        <v/>
      </c>
      <c r="H16" s="4">
        <f>F16*G16</f>
        <v/>
      </c>
      <c r="I16" s="4">
        <f>H16-E16</f>
        <v/>
      </c>
      <c r="J16" s="2" t="n"/>
    </row>
    <row r="17">
      <c r="A17" s="2" t="n">
        <v>16</v>
      </c>
      <c r="B17" s="2" t="inlineStr">
        <is>
          <t>Thiết Bị Đo Kích Thước Hạt và Thế Zeta (Zetasizer Advance Range) Malvern Panalytical Model Zetasizer Pro</t>
        </is>
      </c>
      <c r="C17" s="2">
        <f>'Đối sánh giá'!C17</f>
        <v/>
      </c>
      <c r="D17" s="4">
        <f>'Đối sánh giá'!H17</f>
        <v/>
      </c>
      <c r="E17" s="4">
        <f>C17*D17</f>
        <v/>
      </c>
      <c r="F17" s="7" t="n">
        <v>0</v>
      </c>
      <c r="G17" s="8">
        <f>D17</f>
        <v/>
      </c>
      <c r="H17" s="4">
        <f>F17*G17</f>
        <v/>
      </c>
      <c r="I17" s="4">
        <f>H17-E17</f>
        <v/>
      </c>
      <c r="J17" s="7" t="inlineStr">
        <is>
          <t>Máy đo kích thước hạt, thế zeta chiếm khoảng 4,4 tỷ. Bỏ nếu kiểm kê cho thấy Trường hoặc ĐHQG-HCM đã có thiết bị DLS dùng chung.</t>
        </is>
      </c>
    </row>
    <row r="18">
      <c r="A18" s="2" t="n">
        <v>17</v>
      </c>
      <c r="B18" s="2" t="inlineStr">
        <is>
          <t>Tủ sấy đông khô Model: FDL-2000 Hãng sản xuất: Eyela - Nhật</t>
        </is>
      </c>
      <c r="C18" s="2">
        <f>'Đối sánh giá'!C18</f>
        <v/>
      </c>
      <c r="D18" s="4">
        <f>'Đối sánh giá'!H18</f>
        <v/>
      </c>
      <c r="E18" s="4">
        <f>C18*D18</f>
        <v/>
      </c>
      <c r="F18" s="7" t="n">
        <v>1</v>
      </c>
      <c r="G18" s="8">
        <f>D18</f>
        <v/>
      </c>
      <c r="H18" s="4">
        <f>F18*G18</f>
        <v/>
      </c>
      <c r="I18" s="4">
        <f>H18-E18</f>
        <v/>
      </c>
      <c r="J18" s="7" t="inlineStr">
        <is>
          <t>Hai máy đông khô cần lý giải bằng số mẫu; giữ 01 máy.</t>
        </is>
      </c>
    </row>
    <row r="19">
      <c r="A19" s="2" t="n">
        <v>18</v>
      </c>
      <c r="B19" s="2" t="inlineStr">
        <is>
          <t>Máy đồng nhất siêu âm dạng thanh Model: VCX 1500 Hãng sản xuất: Sonics - Mỹ</t>
        </is>
      </c>
      <c r="C19" s="2">
        <f>'Đối sánh giá'!C19</f>
        <v/>
      </c>
      <c r="D19" s="4">
        <f>'Đối sánh giá'!H19</f>
        <v/>
      </c>
      <c r="E19" s="4">
        <f>C19*D19</f>
        <v/>
      </c>
      <c r="F19" s="2">
        <f>C19</f>
        <v/>
      </c>
      <c r="G19" s="4">
        <f>D19</f>
        <v/>
      </c>
      <c r="H19" s="4">
        <f>F19*G19</f>
        <v/>
      </c>
      <c r="I19" s="4">
        <f>H19-E19</f>
        <v/>
      </c>
      <c r="J19" s="2" t="n"/>
    </row>
    <row r="20">
      <c r="A20" s="2" t="n">
        <v>19</v>
      </c>
      <c r="B20" s="2" t="inlineStr">
        <is>
          <t>Máy đồng hóa tốc độ cao T25 digital ultra-turrax IKA - Đức</t>
        </is>
      </c>
      <c r="C20" s="2">
        <f>'Đối sánh giá'!C20</f>
        <v/>
      </c>
      <c r="D20" s="4">
        <f>'Đối sánh giá'!H20</f>
        <v/>
      </c>
      <c r="E20" s="4">
        <f>C20*D20</f>
        <v/>
      </c>
      <c r="F20" s="2">
        <f>C20</f>
        <v/>
      </c>
      <c r="G20" s="4">
        <f>D20</f>
        <v/>
      </c>
      <c r="H20" s="4">
        <f>F20*G20</f>
        <v/>
      </c>
      <c r="I20" s="4">
        <f>H20-E20</f>
        <v/>
      </c>
      <c r="J20" s="2" t="n"/>
    </row>
    <row r="21">
      <c r="A21" s="2" t="n">
        <v>20</v>
      </c>
      <c r="B21" s="2" t="inlineStr">
        <is>
          <t>Máy ly tâm tốc độ cao (có làm lạnh) Model: Z032-HK-E Hãng sản xuất: HERMLE - Benchmark</t>
        </is>
      </c>
      <c r="C21" s="2">
        <f>'Đối sánh giá'!C21</f>
        <v/>
      </c>
      <c r="D21" s="4">
        <f>'Đối sánh giá'!H21</f>
        <v/>
      </c>
      <c r="E21" s="4">
        <f>C21*D21</f>
        <v/>
      </c>
      <c r="F21" s="2">
        <f>C21</f>
        <v/>
      </c>
      <c r="G21" s="4">
        <f>D21</f>
        <v/>
      </c>
      <c r="H21" s="4">
        <f>F21*G21</f>
        <v/>
      </c>
      <c r="I21" s="4">
        <f>H21-E21</f>
        <v/>
      </c>
      <c r="J21" s="2" t="n"/>
    </row>
    <row r="22">
      <c r="A22" s="2" t="n">
        <v>21</v>
      </c>
      <c r="B22" s="2" t="inlineStr">
        <is>
          <t>Máy TGA-FTIR</t>
        </is>
      </c>
      <c r="C22" s="2">
        <f>'Đối sánh giá'!C22</f>
        <v/>
      </c>
      <c r="D22" s="4">
        <f>'Đối sánh giá'!H22</f>
        <v/>
      </c>
      <c r="E22" s="4">
        <f>C22*D22</f>
        <v/>
      </c>
      <c r="F22" s="7" t="n">
        <v>1</v>
      </c>
      <c r="G22" s="8" t="n">
        <v>1300000000</v>
      </c>
      <c r="H22" s="4">
        <f>F22*G22</f>
        <v/>
      </c>
      <c r="I22" s="4">
        <f>H22-E22</f>
        <v/>
      </c>
      <c r="J22" s="7" t="inlineStr">
        <is>
          <t>Hạ cấu hình: chỉ mua TGA (hoặc TGA/DSC tầm trung), dùng FTIR sẵn có của Khoa. Đơn giá đề xuất là ước lượng.</t>
        </is>
      </c>
    </row>
    <row r="23">
      <c r="A23" s="2" t="n">
        <v>22</v>
      </c>
      <c r="B23" s="2" t="inlineStr">
        <is>
          <t>Máy quang phổ hấp thụ nguyên tử ZA4300 Hitachi - Nhật</t>
        </is>
      </c>
      <c r="C23" s="2">
        <f>'Đối sánh giá'!C23</f>
        <v/>
      </c>
      <c r="D23" s="4">
        <f>'Đối sánh giá'!H23</f>
        <v/>
      </c>
      <c r="E23" s="4">
        <f>C23*D23</f>
        <v/>
      </c>
      <c r="F23" s="2">
        <f>C23</f>
        <v/>
      </c>
      <c r="G23" s="4">
        <f>D23</f>
        <v/>
      </c>
      <c r="H23" s="4">
        <f>F23*G23</f>
        <v/>
      </c>
      <c r="I23" s="4">
        <f>H23-E23</f>
        <v/>
      </c>
      <c r="J23" s="2" t="n"/>
    </row>
    <row r="24">
      <c r="A24" s="2" t="n">
        <v>23</v>
      </c>
      <c r="B24" s="2" t="inlineStr">
        <is>
          <t>Máy đo kéo đa năng</t>
        </is>
      </c>
      <c r="C24" s="2">
        <f>'Đối sánh giá'!C24</f>
        <v/>
      </c>
      <c r="D24" s="4">
        <f>'Đối sánh giá'!H24</f>
        <v/>
      </c>
      <c r="E24" s="4">
        <f>C24*D24</f>
        <v/>
      </c>
      <c r="F24" s="2">
        <f>C24</f>
        <v/>
      </c>
      <c r="G24" s="4">
        <f>D24</f>
        <v/>
      </c>
      <c r="H24" s="4">
        <f>F24*G24</f>
        <v/>
      </c>
      <c r="I24" s="4">
        <f>H24-E24</f>
        <v/>
      </c>
      <c r="J24" s="2" t="n"/>
    </row>
    <row r="25">
      <c r="A25" s="2" t="n">
        <v>24</v>
      </c>
      <c r="B25" s="2" t="inlineStr">
        <is>
          <t>Máy đo độ dẫn đa năng 4 đầu</t>
        </is>
      </c>
      <c r="C25" s="2">
        <f>'Đối sánh giá'!C25</f>
        <v/>
      </c>
      <c r="D25" s="4">
        <f>'Đối sánh giá'!H25</f>
        <v/>
      </c>
      <c r="E25" s="4">
        <f>C25*D25</f>
        <v/>
      </c>
      <c r="F25" s="2">
        <f>C25</f>
        <v/>
      </c>
      <c r="G25" s="4">
        <f>D25</f>
        <v/>
      </c>
      <c r="H25" s="4">
        <f>F25*G25</f>
        <v/>
      </c>
      <c r="I25" s="4">
        <f>H25-E25</f>
        <v/>
      </c>
      <c r="J25" s="2" t="n"/>
    </row>
    <row r="26">
      <c r="A26" s="2" t="n">
        <v>25</v>
      </c>
      <c r="B26" s="2" t="inlineStr">
        <is>
          <t>Lò nung ống Model: KJ-TCVD1200-S80LK2W Hãng sản xuất: KJ Technology - TQ</t>
        </is>
      </c>
      <c r="C26" s="2">
        <f>'Đối sánh giá'!C26</f>
        <v/>
      </c>
      <c r="D26" s="4">
        <f>'Đối sánh giá'!H26</f>
        <v/>
      </c>
      <c r="E26" s="4">
        <f>C26*D26</f>
        <v/>
      </c>
      <c r="F26" s="7" t="n">
        <v>1</v>
      </c>
      <c r="G26" s="8">
        <f>D26</f>
        <v/>
      </c>
      <c r="H26" s="4">
        <f>F26*G26</f>
        <v/>
      </c>
      <c r="I26" s="4">
        <f>H26-E26</f>
        <v/>
      </c>
      <c r="J26" s="7" t="inlineStr">
        <is>
          <t>Giữ 01 lò ống; bổ sung 01 lò nung buồng (sheet Đề xuất bổ sung).</t>
        </is>
      </c>
    </row>
    <row r="27">
      <c r="A27" s="2" t="n">
        <v>26</v>
      </c>
      <c r="B27" s="2" t="inlineStr">
        <is>
          <t>Hệ thống máy đo độ hòa tan, 8 vị trí + hệ thống lấy mẫu tự động 708-DS Dissolution Apparatus, 8-position Agilent - Mỹ</t>
        </is>
      </c>
      <c r="C27" s="2">
        <f>'Đối sánh giá'!C27</f>
        <v/>
      </c>
      <c r="D27" s="4">
        <f>'Đối sánh giá'!H27</f>
        <v/>
      </c>
      <c r="E27" s="4">
        <f>C27*D27</f>
        <v/>
      </c>
      <c r="F27" s="7" t="n">
        <v>0</v>
      </c>
      <c r="G27" s="8">
        <f>D27</f>
        <v/>
      </c>
      <c r="H27" s="4">
        <f>F27*G27</f>
        <v/>
      </c>
      <c r="I27" s="4">
        <f>H27-E27</f>
        <v/>
      </c>
      <c r="J27" s="7" t="inlineStr">
        <is>
          <t>Thiết bị kiểm nghiệm dược (QC), ít gắn với nghiên cứu hóa học chung; giá cao.</t>
        </is>
      </c>
    </row>
    <row r="28">
      <c r="A28" s="2" t="n">
        <v>27</v>
      </c>
      <c r="B28" s="2" t="inlineStr">
        <is>
          <t>Bộ điều chỉnh điện áp đa kênh gồm 8 kênh, EIS*1 Ký mã hiệu: CS310X (Option C, 8-channel, EIS*1) Hãng sản xuất: Corrtest Xuất xứ: Trung Quốc</t>
        </is>
      </c>
      <c r="C28" s="2">
        <f>'Đối sánh giá'!C28</f>
        <v/>
      </c>
      <c r="D28" s="4">
        <f>'Đối sánh giá'!H28</f>
        <v/>
      </c>
      <c r="E28" s="4">
        <f>C28*D28</f>
        <v/>
      </c>
      <c r="F28" s="2">
        <f>C28</f>
        <v/>
      </c>
      <c r="G28" s="4">
        <f>D28</f>
        <v/>
      </c>
      <c r="H28" s="4">
        <f>F28*G28</f>
        <v/>
      </c>
      <c r="I28" s="4">
        <f>H28-E28</f>
        <v/>
      </c>
      <c r="J28" s="2" t="n"/>
    </row>
    <row r="29">
      <c r="A29" s="2" t="n">
        <v>28</v>
      </c>
      <c r="B29" s="2" t="inlineStr">
        <is>
          <t>Máy đo phổ quang phát quang PL</t>
        </is>
      </c>
      <c r="C29" s="2">
        <f>'Đối sánh giá'!C29</f>
        <v/>
      </c>
      <c r="D29" s="4">
        <f>'Đối sánh giá'!H29</f>
        <v/>
      </c>
      <c r="E29" s="4">
        <f>C29*D29</f>
        <v/>
      </c>
      <c r="F29" s="2">
        <f>C29</f>
        <v/>
      </c>
      <c r="G29" s="4">
        <f>D29</f>
        <v/>
      </c>
      <c r="H29" s="4">
        <f>F29*G29</f>
        <v/>
      </c>
      <c r="I29" s="4">
        <f>H29-E29</f>
        <v/>
      </c>
      <c r="J29" s="2" t="n"/>
    </row>
    <row r="30">
      <c r="A30" s="2" t="inlineStr"/>
      <c r="B30" s="9" t="inlineStr">
        <is>
          <t>Cộng danh mục</t>
        </is>
      </c>
      <c r="C30" s="2" t="inlineStr"/>
      <c r="D30" s="4" t="inlineStr"/>
      <c r="E30" s="4">
        <f>SUM(E2:E29)</f>
        <v/>
      </c>
      <c r="F30" s="2" t="inlineStr"/>
      <c r="G30" s="4" t="inlineStr"/>
      <c r="H30" s="4">
        <f>SUM(H2:H29)</f>
        <v/>
      </c>
      <c r="I30" s="4">
        <f>SUM(I2:I29)</f>
        <v/>
      </c>
      <c r="J30" s="2" t="inlineStr"/>
    </row>
    <row r="31">
      <c r="A31" s="2" t="inlineStr"/>
      <c r="B31" s="9" t="inlineStr">
        <is>
          <t>Cộng nhóm "Nên bổ sung" (sheet Đề xuất bổ sung)</t>
        </is>
      </c>
      <c r="C31" s="2" t="inlineStr"/>
      <c r="D31" s="4" t="inlineStr"/>
      <c r="E31" s="4" t="inlineStr"/>
      <c r="F31" s="2" t="inlineStr"/>
      <c r="G31" s="4" t="inlineStr"/>
      <c r="H31" s="4">
        <f>'Đề xuất bổ sung'!H10</f>
        <v/>
      </c>
      <c r="I31" s="4" t="inlineStr"/>
      <c r="J31" s="2" t="inlineStr"/>
    </row>
    <row r="32">
      <c r="A32" s="2" t="inlineStr"/>
      <c r="B32" s="9" t="inlineStr">
        <is>
          <t>TỔNG</t>
        </is>
      </c>
      <c r="C32" s="2" t="inlineStr"/>
      <c r="D32" s="4" t="inlineStr"/>
      <c r="E32" s="4">
        <f>E30</f>
        <v/>
      </c>
      <c r="F32" s="2" t="inlineStr"/>
      <c r="G32" s="4" t="inlineStr"/>
      <c r="H32" s="4">
        <f>H30+H31</f>
        <v/>
      </c>
      <c r="I32" s="4" t="inlineStr"/>
      <c r="J32" s="2" t="inlineStr"/>
    </row>
    <row r="33">
      <c r="A33" s="2" t="inlineStr"/>
      <c r="B33" s="9" t="inlineStr">
        <is>
          <t>Tổng kinh phí tối đa</t>
        </is>
      </c>
      <c r="C33" s="2" t="inlineStr"/>
      <c r="D33" s="4" t="inlineStr"/>
      <c r="E33" s="4" t="n">
        <v>15000000000</v>
      </c>
      <c r="F33" s="2" t="inlineStr"/>
      <c r="G33" s="4" t="inlineStr"/>
      <c r="H33" s="4" t="n">
        <v>15000000000</v>
      </c>
      <c r="I33" s="4" t="inlineStr"/>
      <c r="J33" s="2" t="inlineStr"/>
    </row>
    <row r="34">
      <c r="A34" s="2" t="inlineStr"/>
      <c r="B34" s="9" t="inlineStr">
        <is>
          <t>Chênh lệch (âm = vượt)</t>
        </is>
      </c>
      <c r="C34" s="2" t="inlineStr"/>
      <c r="D34" s="4" t="inlineStr"/>
      <c r="E34" s="4">
        <f>E33-E32</f>
        <v/>
      </c>
      <c r="F34" s="2" t="inlineStr"/>
      <c r="G34" s="4" t="inlineStr"/>
      <c r="H34" s="4">
        <f>H33-H32</f>
        <v/>
      </c>
      <c r="I34" s="4" t="inlineStr"/>
      <c r="J34"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50" customWidth="1" min="3" max="3"/>
    <col width="8" customWidth="1" min="4" max="4"/>
    <col width="42" customWidth="1" min="5" max="5"/>
    <col width="26" customWidth="1" min="6" max="6"/>
    <col width="16" customWidth="1" min="7" max="7"/>
    <col width="16" customWidth="1" min="8" max="8"/>
    <col width="18" customWidth="1" min="9" max="9"/>
  </cols>
  <sheetData>
    <row r="1">
      <c r="A1" s="1" t="inlineStr">
        <is>
          <t>STT</t>
        </is>
      </c>
      <c r="B1" s="1" t="inlineStr">
        <is>
          <t>Thiết bị đề xuất bổ sung</t>
        </is>
      </c>
      <c r="C1" s="1" t="inlineStr">
        <is>
          <t>Lý do (theo báo cáo rà soát)</t>
        </is>
      </c>
      <c r="D1" s="1" t="inlineStr">
        <is>
          <t>Số lượng</t>
        </is>
      </c>
      <c r="E1" s="1" t="inlineStr">
        <is>
          <t>Thiết bị tham chiếu</t>
        </is>
      </c>
      <c r="F1" s="1" t="inlineStr">
        <is>
          <t>Nguồn / sheet / dòng</t>
        </is>
      </c>
      <c r="G1" s="1" t="inlineStr">
        <is>
          <t>Đơn giá tham khảo (đồng)</t>
        </is>
      </c>
      <c r="H1" s="1" t="inlineStr">
        <is>
          <t>Thành tiền (đồng)</t>
        </is>
      </c>
      <c r="I1" s="1" t="inlineStr">
        <is>
          <t>Ưu tiên</t>
        </is>
      </c>
    </row>
    <row r="2">
      <c r="A2" s="2" t="n">
        <v>1</v>
      </c>
      <c r="B2" s="2" t="inlineStr">
        <is>
          <t>Máy đo pH để bàn</t>
        </is>
      </c>
      <c r="C2" s="2" t="inlineStr">
        <is>
          <t>Thiết bị nền dùng hằng ngày; danh mục chưa có.</t>
        </is>
      </c>
      <c r="D2" s="2" t="n">
        <v>1</v>
      </c>
      <c r="E2" s="2" t="inlineStr">
        <is>
          <t>Máy đo pH — Máy đo pH</t>
        </is>
      </c>
      <c r="F2" s="2" t="inlineStr">
        <is>
          <t>Tệp 4_Thuốc / 4 Thuốc / 17</t>
        </is>
      </c>
      <c r="G2" s="4" t="n">
        <v>35360000</v>
      </c>
      <c r="H2" s="4">
        <f>D2*G2</f>
        <v/>
      </c>
      <c r="I2" s="2" t="inlineStr">
        <is>
          <t>Nên bổ sung</t>
        </is>
      </c>
    </row>
    <row r="3">
      <c r="A3" s="2" t="n">
        <v>2</v>
      </c>
      <c r="B3" s="2" t="inlineStr">
        <is>
          <t>Lò nung buồng (muffle) 1100 °C</t>
        </is>
      </c>
      <c r="C3" s="2" t="inlineStr">
        <is>
          <t>Danh mục chỉ có 02 lò ống; thiếu lò nung buồng cho nung, tro hóa. Có thể đổi 01 lò ống lấy lò này.</t>
        </is>
      </c>
      <c r="D3" s="2" t="n">
        <v>1</v>
      </c>
      <c r="E3" s="2" t="inlineStr">
        <is>
          <t>Lò nung khí trơ — Lò nung khí trơ</t>
        </is>
      </c>
      <c r="F3" s="2" t="inlineStr">
        <is>
          <t>Tệp 4_Thuốc / 4 Thuốc / 48</t>
        </is>
      </c>
      <c r="G3" s="4" t="n">
        <v>323090000</v>
      </c>
      <c r="H3" s="4">
        <f>D3*G3</f>
        <v/>
      </c>
      <c r="I3" s="2" t="inlineStr">
        <is>
          <t>Nên bổ sung</t>
        </is>
      </c>
    </row>
    <row r="4">
      <c r="A4" s="2" t="n">
        <v>3</v>
      </c>
      <c r="B4" s="2" t="inlineStr">
        <is>
          <t>Tủ đựng hóa chất có lọc than hoạt tính</t>
        </is>
      </c>
      <c r="C4" s="2" t="inlineStr">
        <is>
          <t>An toàn lưu trữ dung môi, hóa chất bay hơi.</t>
        </is>
      </c>
      <c r="D4" s="2" t="n">
        <v>2</v>
      </c>
      <c r="E4" s="2" t="inlineStr">
        <is>
          <t>Tủ đựng hóa chất có lọc cacbon — Model: ATV-BFH 1200 Nhà sản xuất: AirTech</t>
        </is>
      </c>
      <c r="F4" s="2" t="inlineStr">
        <is>
          <t>Tệp G9 (2025) / Append1 / 1005</t>
        </is>
      </c>
      <c r="G4" s="4" t="n">
        <v>90000000</v>
      </c>
      <c r="H4" s="4">
        <f>D4*G4</f>
        <v/>
      </c>
      <c r="I4" s="2" t="inlineStr">
        <is>
          <t>Nên bổ sung</t>
        </is>
      </c>
    </row>
    <row r="5">
      <c r="A5" s="2" t="n">
        <v>4</v>
      </c>
      <c r="B5" s="2" t="inlineStr">
        <is>
          <t>Máy khuấy cơ (đũa) 5–300 vòng/phút</t>
        </is>
      </c>
      <c r="C5" s="2" t="inlineStr">
        <is>
          <t>Tổng hợp với hỗn hợp nhớt, thể tích lớn.</t>
        </is>
      </c>
      <c r="D5" s="2" t="n">
        <v>2</v>
      </c>
      <c r="E5" s="2" t="inlineStr">
        <is>
          <t>Máy khuấy cơ 05 - 300rpm — Máy khuấy cơ 05 - 300rpm</t>
        </is>
      </c>
      <c r="F5" s="2" t="inlineStr">
        <is>
          <t>Tệp 4_Thuốc / 4 Thuốc / 75</t>
        </is>
      </c>
      <c r="G5" s="4" t="n">
        <v>52700000</v>
      </c>
      <c r="H5" s="4">
        <f>D5*G5</f>
        <v/>
      </c>
      <c r="I5" s="2" t="inlineStr">
        <is>
          <t>Cân nhắc</t>
        </is>
      </c>
    </row>
    <row r="6">
      <c r="A6" s="2" t="n">
        <v>5</v>
      </c>
      <c r="B6" s="2" t="inlineStr">
        <is>
          <t>Máy phân tích độ ẩm (cân sấy ẩm)</t>
        </is>
      </c>
      <c r="C6" s="2" t="inlineStr">
        <is>
          <t>Xác định độ ẩm mẫu, dược liệu, vật liệu.</t>
        </is>
      </c>
      <c r="D6" s="2" t="n">
        <v>1</v>
      </c>
      <c r="E6" s="2" t="inlineStr">
        <is>
          <t>Máy Phân Tích Độ Ẩm — Máy Phân Tích Độ Ẩm</t>
        </is>
      </c>
      <c r="F6" s="2" t="inlineStr">
        <is>
          <t>Tệp 4_Thuốc / 4 Thuốc / 73</t>
        </is>
      </c>
      <c r="G6" s="4" t="n">
        <v>27500000</v>
      </c>
      <c r="H6" s="4">
        <f>D6*G6</f>
        <v/>
      </c>
      <c r="I6" s="2" t="inlineStr">
        <is>
          <t>Cân nhắc</t>
        </is>
      </c>
    </row>
    <row r="7">
      <c r="A7" s="2" t="n">
        <v>6</v>
      </c>
      <c r="B7" s="2" t="inlineStr">
        <is>
          <t>Bể điều nhiệt 45 L</t>
        </is>
      </c>
      <c r="C7" s="2" t="inlineStr">
        <is>
          <t>Kiểm soát nhiệt độ phản ứng, thử độ bền.</t>
        </is>
      </c>
      <c r="D7" s="2" t="n">
        <v>1</v>
      </c>
      <c r="E7" s="2" t="inlineStr">
        <is>
          <t>Bể điều nhiệt — Bể điều nhiệt</t>
        </is>
      </c>
      <c r="F7" s="2" t="inlineStr">
        <is>
          <t>Tệp 4_Thuốc / 4 Thuốc / 50</t>
        </is>
      </c>
      <c r="G7" s="4" t="n">
        <v>60040000</v>
      </c>
      <c r="H7" s="4">
        <f>D7*G7</f>
        <v/>
      </c>
      <c r="I7" s="2" t="inlineStr">
        <is>
          <t>Cân nhắc</t>
        </is>
      </c>
    </row>
    <row r="8">
      <c r="A8" s="2" t="n">
        <v>7</v>
      </c>
      <c r="B8" s="2" t="inlineStr">
        <is>
          <t>Tủ âm -30 °C (thay tủ đông gia dụng)</t>
        </is>
      </c>
      <c r="C8" s="2" t="inlineStr">
        <is>
          <t>Nâng cấp dòng 8 theo góp ý an toàn và bảo quản mẫu.</t>
        </is>
      </c>
      <c r="D8" s="2" t="n">
        <v>1</v>
      </c>
      <c r="E8" s="2" t="inlineStr">
        <is>
          <t>Tủ lạnh âm - 30°C — Tủ lạnh âm - 30°C</t>
        </is>
      </c>
      <c r="F8" s="2" t="inlineStr">
        <is>
          <t>Tệp 4_Thuốc / 4 Thuốc / 13</t>
        </is>
      </c>
      <c r="G8" s="4" t="n">
        <v>148800000</v>
      </c>
      <c r="H8" s="4">
        <f>D8*G8</f>
        <v/>
      </c>
      <c r="I8" s="2" t="inlineStr">
        <is>
          <t>Thay thế dòng 8</t>
        </is>
      </c>
    </row>
    <row r="9">
      <c r="A9" s="2" t="n">
        <v>8</v>
      </c>
      <c r="B9" s="2" t="inlineStr">
        <is>
          <t>Hệ thống HPLC đầu dò PDA/RID</t>
        </is>
      </c>
      <c r="C9" s="2" t="inlineStr">
        <is>
          <t>Thiết bị trung tâm cho hóa hữu cơ, hợp chất thiên nhiên, hóa dược; giá cao, chỉ bổ sung nếu cắt hạng mục khác (ví dụ hệ đo độ hòa tan hoặc Zetasizer).</t>
        </is>
      </c>
      <c r="D9" s="2" t="n">
        <v>1</v>
      </c>
      <c r="E9" s="2" t="inlineStr">
        <is>
          <t>Máy sắc ký lỏng HPLC PAD/RID — LC-40D XR SPD-M40 RID-20A/Shimadzu - Nhật</t>
        </is>
      </c>
      <c r="F9" s="2" t="inlineStr">
        <is>
          <t>Tệp G9 (2025) / Append1 / 2441</t>
        </is>
      </c>
      <c r="G9" s="4" t="n">
        <v>2860000000</v>
      </c>
      <c r="H9" s="4">
        <f>D9*G9</f>
        <v/>
      </c>
      <c r="I9" s="2" t="inlineStr">
        <is>
          <t>Chỉ khi cắt giảm hạng mục khác</t>
        </is>
      </c>
    </row>
    <row r="10">
      <c r="A10" s="2" t="inlineStr"/>
      <c r="B10" s="2" t="inlineStr">
        <is>
          <t>Tổng nhóm "Nên bổ sung"</t>
        </is>
      </c>
      <c r="C10" s="2" t="inlineStr"/>
      <c r="D10" s="2" t="inlineStr"/>
      <c r="E10" s="2" t="inlineStr"/>
      <c r="F10" s="2" t="inlineStr"/>
      <c r="G10" s="4" t="inlineStr"/>
      <c r="H10" s="4">
        <f>SUMIF(I2:I9,"Nên bổ sung",H2:H9)</f>
        <v/>
      </c>
      <c r="I10" s="2" t="inlineStr"/>
    </row>
    <row r="11">
      <c r="A11" s="2" t="inlineStr"/>
      <c r="B11" s="2" t="inlineStr">
        <is>
          <t>Tổng nhóm "Cân nhắc"</t>
        </is>
      </c>
      <c r="C11" s="2" t="inlineStr"/>
      <c r="D11" s="2" t="inlineStr"/>
      <c r="E11" s="2" t="inlineStr"/>
      <c r="F11" s="2" t="inlineStr"/>
      <c r="G11" s="4" t="inlineStr"/>
      <c r="H11" s="4">
        <f>SUMIF(I2:I9,"Cân nhắc",H2:H9)</f>
        <v/>
      </c>
      <c r="I11"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8" customWidth="1" min="1" max="1"/>
    <col width="110" customWidth="1" min="2" max="2"/>
  </cols>
  <sheetData>
    <row r="1">
      <c r="A1" s="11" t="inlineStr">
        <is>
          <t>Mục</t>
        </is>
      </c>
      <c r="B1" s="11" t="inlineStr">
        <is>
          <t>Nội dung</t>
        </is>
      </c>
    </row>
    <row r="2">
      <c r="A2" s="11" t="inlineStr">
        <is>
          <t>Nguồn giá</t>
        </is>
      </c>
      <c r="B2" s="12" t="inlineStr">
        <is>
          <t>(1) Tệp "4_Thuốc": đơn giá sau thuế, bản đã cắt giảm (ưu tiên). (2) Tệp "Danh mục thiết bị G9 ... 09.08 sau khi giảm bớt": sheet theo phòng thí nghiệm (cập nhật 05/08/2025) và sheet tổng hợp Append1 (số tròn, đề xuất ban đầu). Thứ tự ưu tiên: 4_Thuốc &gt; sheet theo phòng thí nghiệm &gt; Append1.</t>
        </is>
      </c>
    </row>
    <row r="3">
      <c r="A3" s="11" t="inlineStr">
        <is>
          <t>Trùng model</t>
        </is>
      </c>
      <c r="B3" s="12" t="inlineStr">
        <is>
          <t>Cùng model trong danh mục tham chiếu: dùng đơn giá.</t>
        </is>
      </c>
    </row>
    <row r="4">
      <c r="A4" s="11" t="inlineStr">
        <is>
          <t>Tương đồng</t>
        </is>
      </c>
      <c r="B4" s="12" t="inlineStr">
        <is>
          <t>Cùng loại, cấu hình gần tương đương: dùng làm giá tạm.</t>
        </is>
      </c>
    </row>
    <row r="5">
      <c r="A5" s="11" t="inlineStr">
        <is>
          <t>Giá liên quan</t>
        </is>
      </c>
      <c r="B5" s="12" t="inlineStr">
        <is>
          <t>Thiết bị liên quan trong danh mục tham chiếu, theo phương án đã góp ý (ví dụ tủ âm -30 °C thay tủ đông gia dụng).</t>
        </is>
      </c>
    </row>
    <row r="6">
      <c r="A6" s="11" t="inlineStr">
        <is>
          <t>Ước lượng</t>
        </is>
      </c>
      <c r="B6" s="12" t="inlineStr">
        <is>
          <t>Không có trong danh mục tham chiếu. Đơn giá là ước lượng của người lập bảng theo mặt bằng giá thiết bị cùng loại trong tệp G9/4_Thuốc và giá niêm yết quốc tế (quy đổi khoảng 1,3–1,6 × giá USD × 26.000 đ/USD cho nhập khẩu, VAT, lắp đặt, đào tạo). Chỉ dùng để cân đối danh mục; không dùng làm căn cứ dự toán. Cần tối thiểu 03 báo giá.</t>
        </is>
      </c>
    </row>
    <row r="7">
      <c r="A7" s="11" t="inlineStr">
        <is>
          <t>Giới hạn tra cứu</t>
        </is>
      </c>
      <c r="B7" s="12" t="inlineStr">
        <is>
          <t>Các cổng muasamcong.mpi.gov.vn và dauthau.asia không truy cập được từ môi trường làm việc, nên chưa đối chiếu được giá trúng thầu. Giá niêm yết tìm được: Sonics VCX-1500-220 12.550 USD (John Morris Group, Mỹ); 14.100 EUR chưa VAT (Spectratech, Hy Lạp).</t>
        </is>
      </c>
    </row>
    <row r="8">
      <c r="A8" s="11" t="inlineStr">
        <is>
          <t>Thời điểm giá</t>
        </is>
      </c>
      <c r="B8" s="12" t="inlineStr">
        <is>
          <t>Giá tệp G9/4_Thuốc thuộc năm 2025; cần cập nhật báo giá 2026.</t>
        </is>
      </c>
    </row>
    <row r="9">
      <c r="A9" s="11" t="inlineStr">
        <is>
          <t>Hệ máy tính đã bỏ</t>
        </is>
      </c>
      <c r="B9" s="12" t="inlineStr">
        <is>
          <t>Tệp 4_Thuốc có "Hệ thống máy vi tính hiệu năng cao chuyên dụng" 542.860.000 đồng: mức tham khảo cho khoản đã tiết kiệm.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2026-09-25T12:35:39Z</dcterms:created>
  <dcterms:modified xmlns:dcterms="http://purl.org/dc/terms/" xmlns:xsi="http://www.w3.org/2001/XMLSchema-instance" xsi:type="dcterms:W3CDTF">2026-09-25T12:35:39Z</dcterms:modified>
</cp:coreProperties>
</file>