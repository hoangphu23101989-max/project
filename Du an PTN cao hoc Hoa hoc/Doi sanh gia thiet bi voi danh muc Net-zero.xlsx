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ối sánh giá" sheetId="1" state="visible" r:id="rId1"/>
    <sheet xmlns:r="http://schemas.openxmlformats.org/officeDocument/2006/relationships" name="Chú giả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7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3" fontId="3" fillId="2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14" customWidth="1" min="4" max="4"/>
    <col width="10" customWidth="1" min="5" max="5"/>
    <col width="34" customWidth="1" min="6" max="6"/>
    <col width="34" customWidth="1" min="7" max="7"/>
    <col width="9" customWidth="1" min="8" max="8"/>
    <col width="10" customWidth="1" min="9" max="9"/>
    <col width="16" customWidth="1" min="10" max="10"/>
    <col width="18" customWidth="1" min="11" max="11"/>
    <col width="60" customWidth="1" min="12" max="12"/>
  </cols>
  <sheetData>
    <row r="1">
      <c r="A1" s="1" t="inlineStr">
        <is>
          <t>STT</t>
        </is>
      </c>
      <c r="B1" s="1" t="inlineStr">
        <is>
          <t>Tên thiết bị (đề cương)</t>
        </is>
      </c>
      <c r="C1" s="1" t="inlineStr">
        <is>
          <t>Số lượng</t>
        </is>
      </c>
      <c r="D1" s="1" t="inlineStr">
        <is>
          <t>Mức tương đồng</t>
        </is>
      </c>
      <c r="E1" s="1" t="inlineStr">
        <is>
          <t>STT Net-zero</t>
        </is>
      </c>
      <c r="F1" s="1" t="inlineStr">
        <is>
          <t>Tên thiết bị Net-zero</t>
        </is>
      </c>
      <c r="G1" s="1" t="inlineStr">
        <is>
          <t>Model/Hãng Net-zero</t>
        </is>
      </c>
      <c r="H1" s="1" t="inlineStr">
        <is>
          <t>SL Net-zero</t>
        </is>
      </c>
      <c r="I1" s="1" t="inlineStr">
        <is>
          <t>Dòng trong tệp Net-zero</t>
        </is>
      </c>
      <c r="J1" s="1" t="inlineStr">
        <is>
          <t>Đơn giá tạm (đồng)</t>
        </is>
      </c>
      <c r="K1" s="1" t="inlineStr">
        <is>
          <t>Thành tiền (đồng)</t>
        </is>
      </c>
      <c r="L1" s="1" t="inlineStr">
        <is>
          <t>Ghi chú</t>
        </is>
      </c>
    </row>
    <row r="2">
      <c r="A2" s="2" t="n">
        <v>1</v>
      </c>
      <c r="B2" s="2" t="inlineStr">
        <is>
          <t>Tủ hút Phượng Hải - Việt Nam</t>
        </is>
      </c>
      <c r="C2" s="2" t="n">
        <v>2</v>
      </c>
      <c r="D2" s="3" t="inlineStr">
        <is>
          <t>Không có</t>
        </is>
      </c>
      <c r="E2" s="2" t="inlineStr"/>
      <c r="F2" s="2" t="inlineStr"/>
      <c r="G2" s="2" t="inlineStr"/>
      <c r="H2" s="2" t="n"/>
      <c r="I2" s="2" t="inlineStr"/>
      <c r="J2" s="4" t="n"/>
      <c r="K2" s="5">
        <f>IF(J2="","",C2*J2)</f>
        <v/>
      </c>
      <c r="L2" s="2" t="inlineStr">
        <is>
          <t>Danh mục Net-zero không có tủ hút.</t>
        </is>
      </c>
    </row>
    <row r="3">
      <c r="A3" s="2" t="n">
        <v>2</v>
      </c>
      <c r="B3" s="2" t="inlineStr">
        <is>
          <t>Cân 4 số BCE224i-1S Sartorius - Trung Quốc</t>
        </is>
      </c>
      <c r="C3" s="2" t="n">
        <v>2</v>
      </c>
      <c r="D3" s="6" t="inlineStr">
        <is>
          <t>Một phần</t>
        </is>
      </c>
      <c r="E3" s="2" t="inlineStr">
        <is>
          <t>44</t>
        </is>
      </c>
      <c r="F3" s="2" t="inlineStr">
        <is>
          <t>Cân điện tử 5 số lẻ</t>
        </is>
      </c>
      <c r="G3" s="2" t="inlineStr">
        <is>
          <t>EXP125/AD / Ohaus</t>
        </is>
      </c>
      <c r="H3" s="2" t="inlineStr">
        <is>
          <t>1</t>
        </is>
      </c>
      <c r="I3" s="2" t="inlineStr">
        <is>
          <t>1210</t>
        </is>
      </c>
      <c r="J3" s="5" t="n"/>
      <c r="K3" s="5">
        <f>IF(J3="","",C3*J3)</f>
        <v/>
      </c>
      <c r="L3" s="2" t="inlineStr">
        <is>
          <t>Net-zero là cân 5 số lẻ (0,01 mg), cấp cao hơn cân 4 số; giá sẽ cao hơn thực tế. Cần quyết định có dùng làm giá tạm hay không.</t>
        </is>
      </c>
    </row>
    <row r="4">
      <c r="A4" s="2" t="n">
        <v>3</v>
      </c>
      <c r="B4" s="2" t="inlineStr">
        <is>
          <t>Cân 2 số SPX6201 Ohaus - Trung Quốc</t>
        </is>
      </c>
      <c r="C4" s="2" t="n">
        <v>2</v>
      </c>
      <c r="D4" s="7" t="inlineStr">
        <is>
          <t>Tương đồng</t>
        </is>
      </c>
      <c r="E4" s="2" t="inlineStr">
        <is>
          <t>45</t>
        </is>
      </c>
      <c r="F4" s="2" t="inlineStr">
        <is>
          <t>Cân điện tử 2 số lẻ</t>
        </is>
      </c>
      <c r="G4" s="2" t="inlineStr">
        <is>
          <t>PR4202/E / OHAUS-MỸ</t>
        </is>
      </c>
      <c r="H4" s="2" t="inlineStr">
        <is>
          <t>1</t>
        </is>
      </c>
      <c r="I4" s="2" t="inlineStr">
        <is>
          <t>1220</t>
        </is>
      </c>
      <c r="J4" s="5" t="n"/>
      <c r="K4" s="5">
        <f>IF(J4="","",C4*J4)</f>
        <v/>
      </c>
      <c r="L4" s="2" t="inlineStr">
        <is>
          <t>Net-zero: cân 2 số lẻ PR4202/E (4200 g, 0,01 g). Đề cương hiện ghi SPX6201 độ đọc 0,1 g; nếu sửa thành cân 0,01 g theo góp ý thì mục này tương ứng.</t>
        </is>
      </c>
    </row>
    <row r="5">
      <c r="A5" s="2" t="n">
        <v>4</v>
      </c>
      <c r="B5" s="2" t="inlineStr">
        <is>
          <t>Máy khuấy từ gia nhiệt AREC 7 Velp - Ý</t>
        </is>
      </c>
      <c r="C5" s="2" t="n">
        <v>5</v>
      </c>
      <c r="D5" s="7" t="inlineStr">
        <is>
          <t>Tương đồng</t>
        </is>
      </c>
      <c r="E5" s="2" t="inlineStr">
        <is>
          <t>24</t>
        </is>
      </c>
      <c r="F5" s="2" t="inlineStr">
        <is>
          <t>Máy khuấy từ</t>
        </is>
      </c>
      <c r="G5" s="2" t="inlineStr">
        <is>
          <t>AREC 10 / Velp</t>
        </is>
      </c>
      <c r="H5" s="2" t="inlineStr">
        <is>
          <t>5</t>
        </is>
      </c>
      <c r="I5" s="2" t="inlineStr">
        <is>
          <t>766</t>
        </is>
      </c>
      <c r="J5" s="5" t="n"/>
      <c r="K5" s="5">
        <f>IF(J5="","",C5*J5)</f>
        <v/>
      </c>
      <c r="L5" s="2" t="inlineStr">
        <is>
          <t>Cùng hãng Velp, cùng số lượng 5; Net-zero là AREC 10 (mặt 260 mm, có đầu đo nhiệt độ), lớn hơn AREC 7. Phương án khác: STT 69 IKA C-MAG HS 7.</t>
        </is>
      </c>
    </row>
    <row r="6">
      <c r="A6" s="2" t="n">
        <v>5</v>
      </c>
      <c r="B6" s="2" t="inlineStr">
        <is>
          <t>Bể rửa siêu âm thể tích 6 lít Model: WUC-D06H Hãng sản xuất: Daihan - Hàn Quốc</t>
        </is>
      </c>
      <c r="C6" s="2" t="n">
        <v>2</v>
      </c>
      <c r="D6" s="8" t="inlineStr">
        <is>
          <t>Trùng model</t>
        </is>
      </c>
      <c r="E6" s="2" t="inlineStr">
        <is>
          <t>26</t>
        </is>
      </c>
      <c r="F6" s="2" t="inlineStr">
        <is>
          <t>Bể rửa siêu âm thể tích 6 lít</t>
        </is>
      </c>
      <c r="G6" s="2" t="inlineStr">
        <is>
          <t>WUC-D06H / Daihan</t>
        </is>
      </c>
      <c r="H6" s="2" t="inlineStr">
        <is>
          <t>1</t>
        </is>
      </c>
      <c r="I6" s="2" t="inlineStr">
        <is>
          <t>797</t>
        </is>
      </c>
      <c r="J6" s="5" t="n"/>
      <c r="K6" s="5">
        <f>IF(J6="","",C6*J6)</f>
        <v/>
      </c>
      <c r="L6" s="2" t="inlineStr">
        <is>
          <t>Cùng model WUC-D06H.</t>
        </is>
      </c>
    </row>
    <row r="7">
      <c r="A7" s="2" t="n">
        <v>6</v>
      </c>
      <c r="B7" s="2" t="inlineStr">
        <is>
          <t>Tủ sấy UN55 Memmert - Đức</t>
        </is>
      </c>
      <c r="C7" s="2" t="n">
        <v>2</v>
      </c>
      <c r="D7" s="7" t="inlineStr">
        <is>
          <t>Tương đồng</t>
        </is>
      </c>
      <c r="E7" s="2" t="inlineStr">
        <is>
          <t>54</t>
        </is>
      </c>
      <c r="F7" s="2" t="inlineStr">
        <is>
          <t>Tủ sấy</t>
        </is>
      </c>
      <c r="G7" s="2" t="inlineStr">
        <is>
          <t>BJPX-HGZ45 / Biobase / Trung Quốc</t>
        </is>
      </c>
      <c r="H7" s="2" t="inlineStr">
        <is>
          <t>1</t>
        </is>
      </c>
      <c r="I7" s="2" t="inlineStr">
        <is>
          <t>1347</t>
        </is>
      </c>
      <c r="J7" s="5" t="n"/>
      <c r="K7" s="5">
        <f>IF(J7="","",C7*J7)</f>
        <v/>
      </c>
      <c r="L7" s="2" t="inlineStr">
        <is>
          <t>Net-zero: tủ sấy 45 L, đến 300 °C (Biobase). Đề cương là Memmert UN55 53 L; giá Memmert thường cao hơn. Phương án khác: STT 67 Daihan ON-32 (32 L, 230 °C).</t>
        </is>
      </c>
    </row>
    <row r="8">
      <c r="A8" s="2" t="n">
        <v>7</v>
      </c>
      <c r="B8" s="2" t="inlineStr">
        <is>
          <t>Tủ lạnh Hòa Phát - Việt Nam</t>
        </is>
      </c>
      <c r="C8" s="2" t="n">
        <v>1</v>
      </c>
      <c r="D8" s="6" t="inlineStr">
        <is>
          <t>Một phần</t>
        </is>
      </c>
      <c r="E8" s="2" t="inlineStr">
        <is>
          <t>85</t>
        </is>
      </c>
      <c r="F8" s="2" t="inlineStr">
        <is>
          <t>Tủ lạnh/ tủ đông chống cháy nổ</t>
        </is>
      </c>
      <c r="G8" s="2" t="inlineStr">
        <is>
          <t>SCF-FG-4002 / Nihon / Đức</t>
        </is>
      </c>
      <c r="H8" s="2" t="inlineStr">
        <is>
          <t>1</t>
        </is>
      </c>
      <c r="I8" s="2" t="inlineStr">
        <is>
          <t>2123</t>
        </is>
      </c>
      <c r="J8" s="5" t="n"/>
      <c r="K8" s="5">
        <f>IF(J8="","",C8*J8)</f>
        <v/>
      </c>
      <c r="L8" s="2" t="inlineStr">
        <is>
          <t>Net-zero: tủ lạnh/tủ đông chống cháy nổ 267 L + 110 L. Cao cấp hơn tủ gia dụng trong đề cương, nhưng khớp với góp ý thay bằng tủ an toàn cháy nổ. Cần quyết định.</t>
        </is>
      </c>
    </row>
    <row r="9">
      <c r="A9" s="2" t="n">
        <v>8</v>
      </c>
      <c r="B9" s="2" t="inlineStr">
        <is>
          <t>Tủ đông Hòa Phát - Việt Nam</t>
        </is>
      </c>
      <c r="C9" s="2" t="n">
        <v>1</v>
      </c>
      <c r="D9" s="7" t="inlineStr">
        <is>
          <t>Tương đồng</t>
        </is>
      </c>
      <c r="E9" s="2" t="inlineStr">
        <is>
          <t>86</t>
        </is>
      </c>
      <c r="F9" s="2" t="inlineStr">
        <is>
          <t>Tủ lạnh</t>
        </is>
      </c>
      <c r="G9" s="2" t="inlineStr">
        <is>
          <t>GIN81AEF0 / BOSCH / Đức</t>
        </is>
      </c>
      <c r="H9" s="2" t="inlineStr">
        <is>
          <t>2</t>
        </is>
      </c>
      <c r="I9" s="2" t="inlineStr">
        <is>
          <t>2140</t>
        </is>
      </c>
      <c r="J9" s="5" t="n"/>
      <c r="K9" s="5">
        <f>IF(J9="","",C9*J9)</f>
        <v/>
      </c>
      <c r="L9" s="2" t="inlineStr">
        <is>
          <t>Net-zero STT 86 ghi "Tủ lạnh" nhưng thông số (Bosch GIN81AEF0, NoFrost, Super Freezing, 212 L) là tủ đông; tương đồng với tủ đông trong đề cương.</t>
        </is>
      </c>
    </row>
    <row r="10">
      <c r="A10" s="2" t="n">
        <v>9</v>
      </c>
      <c r="B10" s="2" t="inlineStr">
        <is>
          <t>Máy chưng cất nước 2 lần Model: WSC/4D Hãng sản xuất: HAMILTON - Anh</t>
        </is>
      </c>
      <c r="C10" s="2" t="n">
        <v>1</v>
      </c>
      <c r="D10" s="8" t="inlineStr">
        <is>
          <t>Trùng model</t>
        </is>
      </c>
      <c r="E10" s="2" t="inlineStr">
        <is>
          <t>47</t>
        </is>
      </c>
      <c r="F10" s="2" t="inlineStr">
        <is>
          <t>Máy chưng cất nước 2 lần</t>
        </is>
      </c>
      <c r="G10" s="2" t="inlineStr">
        <is>
          <t>WSC/4D / HAMILTON-ANH</t>
        </is>
      </c>
      <c r="H10" s="2" t="inlineStr">
        <is>
          <t>1</t>
        </is>
      </c>
      <c r="I10" s="2" t="inlineStr">
        <is>
          <t>1245</t>
        </is>
      </c>
      <c r="J10" s="5" t="n"/>
      <c r="K10" s="5">
        <f>IF(J10="","",C10*J10)</f>
        <v/>
      </c>
      <c r="L10" s="2" t="inlineStr">
        <is>
          <t>Cùng model Hamilton WSC/4D.</t>
        </is>
      </c>
    </row>
    <row r="11">
      <c r="A11" s="2" t="n">
        <v>10</v>
      </c>
      <c r="B11" s="2" t="inlineStr">
        <is>
          <t>Hệ nước siêu sạch</t>
        </is>
      </c>
      <c r="C11" s="2" t="n">
        <v>1</v>
      </c>
      <c r="D11" s="7" t="inlineStr">
        <is>
          <t>Tương đồng</t>
        </is>
      </c>
      <c r="E11" s="2" t="inlineStr">
        <is>
          <t>70</t>
        </is>
      </c>
      <c r="F11" s="2" t="inlineStr">
        <is>
          <t>Hệ thống lọc nước siêu sạch/ Ultra clean filter system</t>
        </is>
      </c>
      <c r="G11" s="2" t="inlineStr">
        <is>
          <t>ALTO I / Avidity Science / Anh Quốc</t>
        </is>
      </c>
      <c r="H11" s="2" t="inlineStr">
        <is>
          <t>2</t>
        </is>
      </c>
      <c r="I11" s="2" t="inlineStr">
        <is>
          <t>1722</t>
        </is>
      </c>
      <c r="J11" s="5" t="n"/>
      <c r="K11" s="5">
        <f>IF(J11="","",C11*J11)</f>
        <v/>
      </c>
      <c r="L11" s="2" t="inlineStr">
        <is>
          <t>Net-zero: ALTO I (Avidity Science), 18,2 MΩ·cm; Net-zero mua 2 bộ, đề cương 1 bộ.</t>
        </is>
      </c>
    </row>
    <row r="12">
      <c r="A12" s="2" t="n">
        <v>11</v>
      </c>
      <c r="B12" s="2" t="inlineStr">
        <is>
          <t>Máy cô quay chân không và phụ kiện Model: N-1300E-W Hãng sản xuất: Tokyo Rikakikai (Eyela) - Nhật Bản</t>
        </is>
      </c>
      <c r="C12" s="2" t="n">
        <v>2</v>
      </c>
      <c r="D12" s="8" t="inlineStr">
        <is>
          <t>Trùng model</t>
        </is>
      </c>
      <c r="E12" s="2" t="inlineStr">
        <is>
          <t>21</t>
        </is>
      </c>
      <c r="F12" s="2" t="inlineStr">
        <is>
          <t>Máy cô quay chân không và phụ kiện</t>
        </is>
      </c>
      <c r="G12" s="2" t="inlineStr">
        <is>
          <t>N-1300E-W / Tokyo Rikakikai (Eyela) - Nhật</t>
        </is>
      </c>
      <c r="H12" s="2" t="inlineStr">
        <is>
          <t>2</t>
        </is>
      </c>
      <c r="I12" s="2" t="inlineStr">
        <is>
          <t>691</t>
        </is>
      </c>
      <c r="J12" s="5" t="n"/>
      <c r="K12" s="5">
        <f>IF(J12="","",C12*J12)</f>
        <v/>
      </c>
      <c r="L12" s="2" t="inlineStr">
        <is>
          <t>Cùng model Eyela N-1300E-W, cùng số lượng 2. Lỗi "23 l/min" trong đề cương bắt nguồn từ thông số này.</t>
        </is>
      </c>
    </row>
    <row r="13">
      <c r="A13" s="2" t="n">
        <v>12</v>
      </c>
      <c r="B13" s="2" t="inlineStr">
        <is>
          <t>Hệ phản ứng kiểm soát nhiệt, áp suất Model: TOP-HP500 Hãng sản xuất: Toption - Trung Quốc</t>
        </is>
      </c>
      <c r="C13" s="2" t="n">
        <v>2</v>
      </c>
      <c r="D13" s="8" t="inlineStr">
        <is>
          <t>Trùng model</t>
        </is>
      </c>
      <c r="E13" s="2" t="inlineStr">
        <is>
          <t>27</t>
        </is>
      </c>
      <c r="F13" s="2" t="inlineStr">
        <is>
          <t>Lò phản ứng thủy nhiệt áp suất cao 500 ml</t>
        </is>
      </c>
      <c r="G13" s="2" t="inlineStr">
        <is>
          <t>TOP-HP500 / Toption</t>
        </is>
      </c>
      <c r="H13" s="2" t="inlineStr">
        <is>
          <t>2</t>
        </is>
      </c>
      <c r="I13" s="2" t="inlineStr">
        <is>
          <t>809</t>
        </is>
      </c>
      <c r="J13" s="5" t="n"/>
      <c r="K13" s="5">
        <f>IF(J13="","",C13*J13)</f>
        <v/>
      </c>
      <c r="L13" s="2" t="inlineStr">
        <is>
          <t>Cùng model Toption TOP-HP500, cùng số lượng 2. Nếu đổi sang thiết bị phản ứng áp suất cao có khuấy, tham khảo STT 19 (Parr 4593).</t>
        </is>
      </c>
    </row>
    <row r="14">
      <c r="A14" s="2" t="n">
        <v>13</v>
      </c>
      <c r="B14" s="2" t="inlineStr">
        <is>
          <t>Hệ chiết tách</t>
        </is>
      </c>
      <c r="C14" s="2" t="n">
        <v>1</v>
      </c>
      <c r="D14" s="3" t="inlineStr">
        <is>
          <t>Không có</t>
        </is>
      </c>
      <c r="E14" s="2" t="inlineStr"/>
      <c r="F14" s="2" t="inlineStr"/>
      <c r="G14" s="2" t="inlineStr"/>
      <c r="H14" s="2" t="n"/>
      <c r="I14" s="2" t="inlineStr"/>
      <c r="J14" s="4" t="n"/>
      <c r="K14" s="5">
        <f>IF(J14="","",C14*J14)</f>
        <v/>
      </c>
      <c r="L14" s="2" t="inlineStr">
        <is>
          <t>Không có hệ chiết tách.</t>
        </is>
      </c>
    </row>
    <row r="15">
      <c r="A15" s="2" t="n">
        <v>14</v>
      </c>
      <c r="B15" s="2" t="inlineStr">
        <is>
          <t>Máy quang phổ UV-Vis V730 Jasco - Nhật</t>
        </is>
      </c>
      <c r="C15" s="2" t="n">
        <v>2</v>
      </c>
      <c r="D15" s="6" t="inlineStr">
        <is>
          <t>Một phần</t>
        </is>
      </c>
      <c r="E15" s="2" t="inlineStr">
        <is>
          <t>22</t>
        </is>
      </c>
      <c r="F15" s="2" t="inlineStr">
        <is>
          <t>Máy quang phổ UV-VIS-NIR đo mẫu lỏng và mẫu rắn</t>
        </is>
      </c>
      <c r="G15" s="2" t="inlineStr">
        <is>
          <t>Model: V 770 Hãng sản xuất: JASCO Nhật Bản</t>
        </is>
      </c>
      <c r="H15" s="2" t="inlineStr">
        <is>
          <t>1</t>
        </is>
      </c>
      <c r="I15" s="2" t="inlineStr">
        <is>
          <t>713</t>
        </is>
      </c>
      <c r="J15" s="5" t="n"/>
      <c r="K15" s="5">
        <f>IF(J15="","",C15*J15)</f>
        <v/>
      </c>
      <c r="L15" s="2" t="inlineStr">
        <is>
          <t>Net-zero là Jasco V-770 UV-Vis-NIR (190–2700 nm), cấp cao hơn V-730 nhiều; dùng làm giá tạm sẽ đẩy dự toán lên. Cần quyết định.</t>
        </is>
      </c>
    </row>
    <row r="16">
      <c r="A16" s="2" t="n">
        <v>15</v>
      </c>
      <c r="B16" s="2" t="inlineStr">
        <is>
          <t>Máy sắc ký khí (đầu dò FID, TCD) Model: GC-2030 Hãng sản xuất: Shimadzu - Nhật</t>
        </is>
      </c>
      <c r="C16" s="2" t="n">
        <v>1</v>
      </c>
      <c r="D16" s="8" t="inlineStr">
        <is>
          <t>Trùng model</t>
        </is>
      </c>
      <c r="E16" s="2" t="inlineStr">
        <is>
          <t>36</t>
        </is>
      </c>
      <c r="F16" s="2" t="inlineStr">
        <is>
          <t>Máy sắc ký khí tích hợp 2 đầu dò FID - TCD</t>
        </is>
      </c>
      <c r="G16" s="2" t="inlineStr">
        <is>
          <t>GC-2030 / Shimadzu - Nhật</t>
        </is>
      </c>
      <c r="H16" s="2" t="inlineStr">
        <is>
          <t>1</t>
        </is>
      </c>
      <c r="I16" s="2" t="inlineStr">
        <is>
          <t>988</t>
        </is>
      </c>
      <c r="J16" s="5" t="n"/>
      <c r="K16" s="5">
        <f>IF(J16="","",C16*J16)</f>
        <v/>
      </c>
      <c r="L16" s="2" t="inlineStr">
        <is>
          <t>Cùng GC-2030 FID/TCD. Net-zero còn có STT 16 và 18 cùng cấu hình (Nexis GC-2030 FID/TCD).</t>
        </is>
      </c>
    </row>
    <row r="17">
      <c r="A17" s="2" t="n">
        <v>16</v>
      </c>
      <c r="B17" s="2" t="inlineStr">
        <is>
          <t>Thiết Bị Đo Kích Thước Hạt và Thế Zeta (Zetasizer Advance Range) Malvern Panalytical Model Zetasizer Pro</t>
        </is>
      </c>
      <c r="C17" s="2" t="n">
        <v>1</v>
      </c>
      <c r="D17" s="3" t="inlineStr">
        <is>
          <t>Không có</t>
        </is>
      </c>
      <c r="E17" s="2" t="inlineStr"/>
      <c r="F17" s="2" t="inlineStr"/>
      <c r="G17" s="2" t="inlineStr"/>
      <c r="H17" s="2" t="n"/>
      <c r="I17" s="2" t="inlineStr"/>
      <c r="J17" s="4" t="n"/>
      <c r="K17" s="5">
        <f>IF(J17="","",C17*J17)</f>
        <v/>
      </c>
      <c r="L17" s="2" t="inlineStr">
        <is>
          <t>Không có máy đo kích thước hạt và thế zeta.</t>
        </is>
      </c>
    </row>
    <row r="18">
      <c r="A18" s="2" t="n">
        <v>17</v>
      </c>
      <c r="B18" s="2" t="inlineStr">
        <is>
          <t>Tủ sấy đông khô Model: FDL-2000 Hãng sản xuất: Eyela - Nhật</t>
        </is>
      </c>
      <c r="C18" s="2" t="n">
        <v>2</v>
      </c>
      <c r="D18" s="8" t="inlineStr">
        <is>
          <t>Trùng model</t>
        </is>
      </c>
      <c r="E18" s="2" t="inlineStr">
        <is>
          <t>72</t>
        </is>
      </c>
      <c r="F18" s="2" t="inlineStr">
        <is>
          <t>Tủ sấy đông khô</t>
        </is>
      </c>
      <c r="G18" s="2" t="inlineStr">
        <is>
          <t>FDL-2000 / Eyela / Nhật Bản</t>
        </is>
      </c>
      <c r="H18" s="2" t="inlineStr">
        <is>
          <t>1</t>
        </is>
      </c>
      <c r="I18" s="2" t="inlineStr">
        <is>
          <t>1757</t>
        </is>
      </c>
      <c r="J18" s="5" t="n"/>
      <c r="K18" s="5">
        <f>IF(J18="","",C18*J18)</f>
        <v/>
      </c>
      <c r="L18" s="2" t="inlineStr">
        <is>
          <t>Cùng model Eyela FDL-2000; Net-zero mua 1, đề cương 2.</t>
        </is>
      </c>
    </row>
    <row r="19">
      <c r="A19" s="2" t="n">
        <v>18</v>
      </c>
      <c r="B19" s="2" t="inlineStr">
        <is>
          <t>Máy đồng nhất siêu âm dạng thanh Model: VCX 1500 Hãng sản xuất: Sonics - Mỹ</t>
        </is>
      </c>
      <c r="C19" s="2" t="n">
        <v>1</v>
      </c>
      <c r="D19" s="8" t="inlineStr">
        <is>
          <t>Trùng model</t>
        </is>
      </c>
      <c r="E19" s="2" t="inlineStr">
        <is>
          <t>23</t>
        </is>
      </c>
      <c r="F19" s="2" t="inlineStr">
        <is>
          <t>Máy đồng nhất siêu âm</t>
        </is>
      </c>
      <c r="G19" s="2" t="inlineStr">
        <is>
          <t>VCX 1500 / Sonics - Mỹ</t>
        </is>
      </c>
      <c r="H19" s="2" t="inlineStr">
        <is>
          <t>1</t>
        </is>
      </c>
      <c r="I19" s="2" t="inlineStr">
        <is>
          <t>744</t>
        </is>
      </c>
      <c r="J19" s="5" t="n"/>
      <c r="K19" s="5">
        <f>IF(J19="","",C19*J19)</f>
        <v/>
      </c>
      <c r="L19" s="2" t="inlineStr">
        <is>
          <t>Cùng model Sonics VCX 1500.</t>
        </is>
      </c>
    </row>
    <row r="20">
      <c r="A20" s="2" t="n">
        <v>19</v>
      </c>
      <c r="B20" s="2" t="inlineStr">
        <is>
          <t>Máy đồng hóa tốc độ cao T25 digital ultra-turrax IKA - Đức</t>
        </is>
      </c>
      <c r="C20" s="2" t="n">
        <v>1</v>
      </c>
      <c r="D20" s="3" t="inlineStr">
        <is>
          <t>Không có</t>
        </is>
      </c>
      <c r="E20" s="2" t="inlineStr"/>
      <c r="F20" s="2" t="inlineStr"/>
      <c r="G20" s="2" t="inlineStr"/>
      <c r="H20" s="2" t="n"/>
      <c r="I20" s="2" t="inlineStr"/>
      <c r="J20" s="4" t="n"/>
      <c r="K20" s="5">
        <f>IF(J20="","",C20*J20)</f>
        <v/>
      </c>
      <c r="L20" s="2" t="inlineStr">
        <is>
          <t>Không có máy đồng hóa rotor-stator (STT 13, 39 là máy siêu âm VCX 750, khác nguyên lý).</t>
        </is>
      </c>
    </row>
    <row r="21">
      <c r="A21" s="2" t="n">
        <v>20</v>
      </c>
      <c r="B21" s="2" t="inlineStr">
        <is>
          <t>Máy ly tâm tốc độ cao (có làm lạnh) Model: Z032-HK-E Hãng sản xuất: HERMLE - Benchmark</t>
        </is>
      </c>
      <c r="C21" s="2" t="n">
        <v>1</v>
      </c>
      <c r="D21" s="3" t="inlineStr">
        <is>
          <t>Không có</t>
        </is>
      </c>
      <c r="E21" s="2" t="inlineStr"/>
      <c r="F21" s="2" t="inlineStr"/>
      <c r="G21" s="2" t="inlineStr"/>
      <c r="H21" s="2" t="n"/>
      <c r="I21" s="2" t="inlineStr"/>
      <c r="J21" s="4" t="n"/>
      <c r="K21" s="5">
        <f>IF(J21="","",C21*J21)</f>
        <v/>
      </c>
      <c r="L21" s="2" t="inlineStr">
        <is>
          <t>Không có máy ly tâm lạnh.</t>
        </is>
      </c>
    </row>
    <row r="22">
      <c r="A22" s="2" t="n">
        <v>21</v>
      </c>
      <c r="B22" s="2" t="inlineStr">
        <is>
          <t>Máy TGA-FTIR</t>
        </is>
      </c>
      <c r="C22" s="2" t="n">
        <v>1</v>
      </c>
      <c r="D22" s="6" t="inlineStr">
        <is>
          <t>Một phần</t>
        </is>
      </c>
      <c r="E22" s="2" t="inlineStr">
        <is>
          <t>55, 2</t>
        </is>
      </c>
      <c r="F22" s="2" t="inlineStr">
        <is>
          <t>Hệ thiết bị phân tích nhiệt vi sai và nhiệt trọng lượng
Máy quang phổ hồng ngoại tích hợp bộ đo phản xạ (FT-IR-ATR)</t>
        </is>
      </c>
      <c r="G22" s="2" t="inlineStr">
        <is>
          <t>DSC 300 Caliris Classic + TGA-309 Libra Classic / Netzsch / Đức
FTIR/6X - Jasco - Nhật</t>
        </is>
      </c>
      <c r="H22" s="2" t="inlineStr">
        <is>
          <t>1, 1</t>
        </is>
      </c>
      <c r="I22" s="2" t="inlineStr">
        <is>
          <t>1359, 48</t>
        </is>
      </c>
      <c r="J22" s="5" t="n"/>
      <c r="K22" s="5">
        <f>IF(J22="","",C22*J22)</f>
        <v/>
      </c>
      <c r="L22" s="2" t="inlineStr">
        <is>
          <t>Không có TGA-FTIR ghép nối. Gần nhất: STT 55 (hệ DSC 300 + TGA 309, Netzsch) và STT 2 (FTIR-ATR Jasco 6X); chưa có bộ ghép nối (transfer line). Cần quyết định.</t>
        </is>
      </c>
    </row>
    <row r="23">
      <c r="A23" s="2" t="n">
        <v>22</v>
      </c>
      <c r="B23" s="2" t="inlineStr">
        <is>
          <t>Máy quang phổ hấp thụ nguyên tử ZA4300 Hitachi - Nhật</t>
        </is>
      </c>
      <c r="C23" s="2" t="n">
        <v>1</v>
      </c>
      <c r="D23" s="3" t="inlineStr">
        <is>
          <t>Không có</t>
        </is>
      </c>
      <c r="E23" s="2" t="inlineStr"/>
      <c r="F23" s="2" t="inlineStr"/>
      <c r="G23" s="2" t="inlineStr"/>
      <c r="H23" s="2" t="n"/>
      <c r="I23" s="2" t="inlineStr"/>
      <c r="J23" s="4" t="n"/>
      <c r="K23" s="5">
        <f>IF(J23="","",C23*J23)</f>
        <v/>
      </c>
      <c r="L23" s="2" t="inlineStr">
        <is>
          <t>Không có AAS (STT 71 là máy phân tích thủy ngân, khác loại).</t>
        </is>
      </c>
    </row>
    <row r="24">
      <c r="A24" s="2" t="n">
        <v>23</v>
      </c>
      <c r="B24" s="2" t="inlineStr">
        <is>
          <t>Máy đo kéo đa năng</t>
        </is>
      </c>
      <c r="C24" s="2" t="n">
        <v>1</v>
      </c>
      <c r="D24" s="6" t="inlineStr">
        <is>
          <t>Một phần</t>
        </is>
      </c>
      <c r="E24" s="2" t="inlineStr">
        <is>
          <t>9</t>
        </is>
      </c>
      <c r="F24" s="2" t="inlineStr">
        <is>
          <t>Máy phân tích cấu trúc</t>
        </is>
      </c>
      <c r="G24" s="2" t="inlineStr">
        <is>
          <t>Texture Analyzer / Model: EZ Test / Hãng: Shimadzu</t>
        </is>
      </c>
      <c r="H24" s="2" t="inlineStr">
        <is>
          <t>1</t>
        </is>
      </c>
      <c r="I24" s="2" t="inlineStr">
        <is>
          <t>284</t>
        </is>
      </c>
      <c r="J24" s="5" t="n"/>
      <c r="K24" s="5">
        <f>IF(J24="","",C24*J24)</f>
        <v/>
      </c>
      <c r="L24" s="2" t="inlineStr">
        <is>
          <t>Net-zero: Shimadzu EZ Test (texture analyzer/máy thử cỡ nhỏ, loadcell đến 5 kN). Nếu máy kéo đa năng cần tải lớn hơn 5 kN thì không tương đương. Cần quyết định.</t>
        </is>
      </c>
    </row>
    <row r="25">
      <c r="A25" s="2" t="n">
        <v>24</v>
      </c>
      <c r="B25" s="2" t="inlineStr">
        <is>
          <t>Máy đo độ dẫn đa năng 4 đầu</t>
        </is>
      </c>
      <c r="C25" s="2" t="n">
        <v>1</v>
      </c>
      <c r="D25" s="3" t="inlineStr">
        <is>
          <t>Không có</t>
        </is>
      </c>
      <c r="E25" s="2" t="inlineStr"/>
      <c r="F25" s="2" t="inlineStr"/>
      <c r="G25" s="2" t="inlineStr"/>
      <c r="H25" s="2" t="n"/>
      <c r="I25" s="2" t="inlineStr"/>
      <c r="J25" s="4" t="n"/>
      <c r="K25" s="5">
        <f>IF(J25="","",C25*J25)</f>
        <v/>
      </c>
      <c r="L25" s="2" t="inlineStr">
        <is>
          <t>Không có máy đo độ dẫn 4 đầu (STT 10 là máy đo độ dẫn nhiệt, khác loại).</t>
        </is>
      </c>
    </row>
    <row r="26">
      <c r="A26" s="2" t="n">
        <v>25</v>
      </c>
      <c r="B26" s="2" t="inlineStr">
        <is>
          <t>Lò nung ống Model: KJ-TCVD1200-S80LK2W Hãng sản xuất: KJ Technology - TQ</t>
        </is>
      </c>
      <c r="C26" s="2" t="n">
        <v>2</v>
      </c>
      <c r="D26" s="8" t="inlineStr">
        <is>
          <t>Trùng model</t>
        </is>
      </c>
      <c r="E26" s="2" t="inlineStr">
        <is>
          <t>41, 46</t>
        </is>
      </c>
      <c r="F26" s="2" t="inlineStr">
        <is>
          <t>Lò nung ống khí trơ
Lò nung ống</t>
        </is>
      </c>
      <c r="G26" s="2" t="inlineStr">
        <is>
          <t>KJ-TCVD1200-S80LK2W/ KJ Technology
KJ-TCVD1200-S80LK2W/ KJ Technology</t>
        </is>
      </c>
      <c r="H26" s="2" t="inlineStr">
        <is>
          <t>1, 1</t>
        </is>
      </c>
      <c r="I26" s="2" t="inlineStr">
        <is>
          <t>1135, 1231</t>
        </is>
      </c>
      <c r="J26" s="5" t="n"/>
      <c r="K26" s="5">
        <f>IF(J26="","",C26*J26)</f>
        <v/>
      </c>
      <c r="L26" s="2" t="inlineStr">
        <is>
          <t>Cùng model KJ-TCVD1200-S80LK2W; Net-zero có 2 dòng (STT 41, 46), mỗi dòng 1 bộ, khớp số lượng 2.</t>
        </is>
      </c>
    </row>
    <row r="27">
      <c r="A27" s="2" t="n">
        <v>26</v>
      </c>
      <c r="B27" s="2" t="inlineStr">
        <is>
          <t>Hệ thống máy đo độ hòa tan, 8 vị trí + hệ thống lấy mẫu tự động 708-DS Dissolution Apparatus, 8-position Agilent - Mỹ</t>
        </is>
      </c>
      <c r="C27" s="2" t="n">
        <v>1</v>
      </c>
      <c r="D27" s="3" t="inlineStr">
        <is>
          <t>Không có</t>
        </is>
      </c>
      <c r="E27" s="2" t="inlineStr"/>
      <c r="F27" s="2" t="inlineStr"/>
      <c r="G27" s="2" t="inlineStr"/>
      <c r="H27" s="2" t="n"/>
      <c r="I27" s="2" t="inlineStr"/>
      <c r="J27" s="4" t="n"/>
      <c r="K27" s="5">
        <f>IF(J27="","",C27*J27)</f>
        <v/>
      </c>
      <c r="L27" s="2" t="inlineStr">
        <is>
          <t>Không có hệ đo độ hòa tan.</t>
        </is>
      </c>
    </row>
    <row r="28">
      <c r="A28" s="2" t="n">
        <v>27</v>
      </c>
      <c r="B28" s="2" t="inlineStr">
        <is>
          <t>Bộ điều chỉnh điện áp đa kênh gồm 8 kênh, EIS*1 Ký mã hiệu: CS310X (Option C, 8-channel, EIS*1) Hãng sản xuất: Corrtest Xuất xứ: Trung Quốc</t>
        </is>
      </c>
      <c r="C28" s="2" t="n">
        <v>1</v>
      </c>
      <c r="D28" s="6" t="inlineStr">
        <is>
          <t>Một phần</t>
        </is>
      </c>
      <c r="E28" s="2" t="inlineStr">
        <is>
          <t>12</t>
        </is>
      </c>
      <c r="F28" s="2" t="inlineStr">
        <is>
          <t>Máy phân tích điện hoá</t>
        </is>
      </c>
      <c r="G28" s="2" t="inlineStr">
        <is>
          <t>SP-50e - Biologics - Pháp</t>
        </is>
      </c>
      <c r="H28" s="2" t="inlineStr">
        <is>
          <t>1</t>
        </is>
      </c>
      <c r="I28" s="2" t="inlineStr">
        <is>
          <t>358</t>
        </is>
      </c>
      <c r="J28" s="5" t="n"/>
      <c r="K28" s="5">
        <f>IF(J28="","",C28*J28)</f>
        <v/>
      </c>
      <c r="L28" s="2" t="inlineStr">
        <is>
          <t>Net-zero: Biologic SP-50e, 1 kênh, có EIS. Đề cương là hệ 8 kênh (1 kênh EIS); giá không tương đương. Cần quyết định.</t>
        </is>
      </c>
    </row>
    <row r="29">
      <c r="A29" s="2" t="n">
        <v>28</v>
      </c>
      <c r="B29" s="2" t="inlineStr">
        <is>
          <t>Máy đo phổ quang phát quang PL</t>
        </is>
      </c>
      <c r="C29" s="2" t="n">
        <v>1</v>
      </c>
      <c r="D29" s="7" t="inlineStr">
        <is>
          <t>Tương đồng</t>
        </is>
      </c>
      <c r="E29" s="2" t="inlineStr">
        <is>
          <t>42</t>
        </is>
      </c>
      <c r="F29" s="2" t="inlineStr">
        <is>
          <t>Thiết bị huỳnh quang độ nhạy cao</t>
        </is>
      </c>
      <c r="G29" s="2" t="inlineStr">
        <is>
          <t>Fluoromax Plus C / Nhà sản xuất: Horiba - Nhật Bản</t>
        </is>
      </c>
      <c r="H29" s="2" t="inlineStr">
        <is>
          <t>1</t>
        </is>
      </c>
      <c r="I29" s="2" t="inlineStr">
        <is>
          <t>1149</t>
        </is>
      </c>
      <c r="J29" s="5" t="n"/>
      <c r="K29" s="5">
        <f>IF(J29="","",C29*J29)</f>
        <v/>
      </c>
      <c r="L29" s="2" t="inlineStr">
        <is>
          <t>Net-zero: Horiba Fluoromax Plus C (máy huỳnh quang, đèn Xe 150 W). Phương án khác: STT 29 Horiba Duetta. Phù hợp nếu "PL" là máy huỳnh quang; nếu là hệ PL chất rắn kích thích laser thì không tương đương.</t>
        </is>
      </c>
    </row>
    <row r="30">
      <c r="A30" s="2" t="inlineStr"/>
      <c r="B30" s="9" t="inlineStr">
        <is>
          <t>TỔNG CỘNG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5" t="inlineStr"/>
      <c r="K30" s="10">
        <f>SUM(K2:K29)</f>
        <v/>
      </c>
      <c r="L30" s="2">
        <f>COUNTBLANK(J2:J29)&amp;" hạng mục chưa có đơn giá"</f>
        <v/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1" t="n"/>
    </row>
    <row r="32">
      <c r="A32" s="11" t="inlineStr"/>
      <c r="B32" s="11" t="inlineStr">
        <is>
          <t>Tổng kinh phí tối đa</t>
        </is>
      </c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2" t="inlineStr"/>
      <c r="K32" s="12" t="n">
        <v>15000000000</v>
      </c>
      <c r="L32" s="11" t="inlineStr"/>
    </row>
    <row r="33">
      <c r="A33" s="11" t="inlineStr"/>
      <c r="B33" s="11" t="inlineStr">
        <is>
          <t>Chênh lệch (âm = vượt)</t>
        </is>
      </c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2" t="inlineStr"/>
      <c r="K33" s="12">
        <f>K32-K30</f>
        <v/>
      </c>
      <c r="L33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45" customWidth="1" min="3" max="3"/>
  </cols>
  <sheetData>
    <row r="1">
      <c r="A1" s="13" t="inlineStr">
        <is>
          <t>Mức tương đồng</t>
        </is>
      </c>
      <c r="B1" s="13" t="inlineStr">
        <is>
          <t>Ý nghĩa</t>
        </is>
      </c>
      <c r="C1" s="13" t="inlineStr">
        <is>
          <t>Xử lý giá</t>
        </is>
      </c>
    </row>
    <row r="2">
      <c r="A2" s="14" t="inlineStr">
        <is>
          <t>Trùng model</t>
        </is>
      </c>
      <c r="B2" s="11" t="inlineStr">
        <is>
          <t>Cùng model với danh mục Net-zero</t>
        </is>
      </c>
      <c r="C2" s="11" t="inlineStr">
        <is>
          <t>Dùng đơn giá Net-zero</t>
        </is>
      </c>
    </row>
    <row r="3">
      <c r="A3" s="15" t="inlineStr">
        <is>
          <t>Tương đồng</t>
        </is>
      </c>
      <c r="B3" s="11" t="inlineStr">
        <is>
          <t>Cùng loại, cấu hình gần tương đương</t>
        </is>
      </c>
      <c r="C3" s="11" t="inlineStr">
        <is>
          <t>Dùng đơn giá Net-zero làm giá tạm</t>
        </is>
      </c>
    </row>
    <row r="4">
      <c r="A4" s="16" t="inlineStr">
        <is>
          <t>Một phần</t>
        </is>
      </c>
      <c r="B4" s="11" t="inlineStr">
        <is>
          <t>Cùng nhóm nhưng cấp cấu hình khác đáng kể</t>
        </is>
      </c>
      <c r="C4" s="11" t="inlineStr">
        <is>
          <t>Cần anh/chị quyết định; đơn giá để trống</t>
        </is>
      </c>
    </row>
    <row r="5">
      <c r="A5" s="17" t="inlineStr">
        <is>
          <t>Không có</t>
        </is>
      </c>
      <c r="B5" s="11" t="inlineStr">
        <is>
          <t>Danh mục Net-zero không có thiết bị tương ứng</t>
        </is>
      </c>
      <c r="C5" s="11" t="inlineStr">
        <is>
          <t>Để trống, cần tìm báo giá</t>
        </is>
      </c>
    </row>
    <row r="6">
      <c r="A6" s="11" t="inlineStr"/>
      <c r="B6" s="11" t="inlineStr">
        <is>
          <t>Ghi chú: tệp Net-zero (bản 31/07/2026) không có cột đơn giá, nên cột 'Đơn giá tạm' đang để trống toàn bộ. Khi có đơn giá Net-zero, nhập vào cột J theo 'STT Net-zero'; cột Thành tiền và Tổng tự tính.</t>
        </is>
      </c>
      <c r="C6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2026-09-25T12:18:55Z</dcterms:created>
  <dcterms:modified xmlns:dcterms="http://purl.org/dc/terms/" xmlns:xsi="http://www.w3.org/2001/XMLSchema-instance" xsi:type="dcterms:W3CDTF">2026-09-25T12:18:56Z</dcterms:modified>
</cp:coreProperties>
</file>