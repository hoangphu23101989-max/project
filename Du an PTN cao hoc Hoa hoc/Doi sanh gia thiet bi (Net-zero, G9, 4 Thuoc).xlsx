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sánh giá" sheetId="1" state="visible" r:id="rId1"/>
    <sheet xmlns:r="http://schemas.openxmlformats.org/officeDocument/2006/relationships" name="Đề xuất bổ sung" sheetId="2" state="visible" r:id="rId2"/>
    <sheet xmlns:r="http://schemas.openxmlformats.org/officeDocument/2006/relationships" name="Chú giả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3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3" customWidth="1" min="4" max="4"/>
    <col width="13" customWidth="1" min="5" max="5"/>
    <col width="13" customWidth="1" min="6" max="6"/>
    <col width="40" customWidth="1" min="7" max="7"/>
    <col width="15" customWidth="1" min="8" max="8"/>
    <col width="16" customWidth="1" min="9" max="9"/>
    <col width="16" customWidth="1" min="10" max="10"/>
    <col width="55" customWidth="1" min="11" max="11"/>
    <col width="13" customWidth="1" min="12" max="12"/>
    <col width="9" customWidth="1" min="13" max="13"/>
  </cols>
  <sheetData>
    <row r="1">
      <c r="A1" s="1" t="inlineStr">
        <is>
          <t>STT</t>
        </is>
      </c>
      <c r="B1" s="1" t="inlineStr">
        <is>
          <t>Tên thiết bị (đề cương)</t>
        </is>
      </c>
      <c r="C1" s="1" t="inlineStr">
        <is>
          <t>Số lượng</t>
        </is>
      </c>
      <c r="D1" s="1" t="inlineStr">
        <is>
          <t>Mức tương đồng về giá</t>
        </is>
      </c>
      <c r="E1" s="1" t="inlineStr">
        <is>
          <t>Nguồn giá</t>
        </is>
      </c>
      <c r="F1" s="1" t="inlineStr">
        <is>
          <t>Sheet / dòng</t>
        </is>
      </c>
      <c r="G1" s="1" t="inlineStr">
        <is>
          <t>Thiết bị tham chiếu (tên, model)</t>
        </is>
      </c>
      <c r="H1" s="1" t="inlineStr">
        <is>
          <t>Đơn giá tạm (đồng)</t>
        </is>
      </c>
      <c r="I1" s="1" t="inlineStr">
        <is>
          <t>Thành tiền (đồng)</t>
        </is>
      </c>
      <c r="J1" s="1" t="inlineStr">
        <is>
          <t>Giá tham khảo "Một phần" (chưa cộng)</t>
        </is>
      </c>
      <c r="K1" s="1" t="inlineStr">
        <is>
          <t>Ghi chú</t>
        </is>
      </c>
      <c r="L1" s="1" t="inlineStr">
        <is>
          <t>Net-zero: mức tương đồng</t>
        </is>
      </c>
      <c r="M1" s="1" t="inlineStr">
        <is>
          <t>Net-zero: STT</t>
        </is>
      </c>
    </row>
    <row r="2">
      <c r="A2" s="2" t="n">
        <v>1</v>
      </c>
      <c r="B2" s="2" t="inlineStr">
        <is>
          <t>Tủ hút Phượng Hải - Việt Nam</t>
        </is>
      </c>
      <c r="C2" s="2" t="n">
        <v>2</v>
      </c>
      <c r="D2" s="3" t="inlineStr">
        <is>
          <t>Tương đồng</t>
        </is>
      </c>
      <c r="E2" s="2" t="inlineStr">
        <is>
          <t>Tệp 4_Thuốc</t>
        </is>
      </c>
      <c r="F2" s="2" t="inlineStr">
        <is>
          <t>4 Thuốc / 61</t>
        </is>
      </c>
      <c r="G2" s="2" t="inlineStr">
        <is>
          <t>Tủ hút khí độc — Tủ hút khí độc</t>
        </is>
      </c>
      <c r="H2" s="4" t="n">
        <v>180000000</v>
      </c>
      <c r="I2" s="4">
        <f>IF(H2="","",C2*H2)</f>
        <v/>
      </c>
      <c r="J2" s="4" t="n"/>
      <c r="K2" s="2" t="inlineStr">
        <is>
          <t>Tủ hút khí độc BLH18 Phượng Hải (cùng hãng). Nếu lấy đúng loại 1600 mm có màng lọc: tệp G9, sheet "2 CNVS&amp;G", dòng 284 = 220.000.000.</t>
        </is>
      </c>
      <c r="L2" s="2" t="inlineStr">
        <is>
          <t>Không có</t>
        </is>
      </c>
      <c r="M2" s="2" t="n"/>
    </row>
    <row r="3">
      <c r="A3" s="2" t="n">
        <v>2</v>
      </c>
      <c r="B3" s="2" t="inlineStr">
        <is>
          <t>Cân 4 số BCE224i-1S Sartorius - Trung Quốc</t>
        </is>
      </c>
      <c r="C3" s="2" t="n">
        <v>2</v>
      </c>
      <c r="D3" s="5" t="inlineStr">
        <is>
          <t>Trùng model</t>
        </is>
      </c>
      <c r="E3" s="2" t="inlineStr">
        <is>
          <t>Tệp 4_Thuốc</t>
        </is>
      </c>
      <c r="F3" s="2" t="inlineStr">
        <is>
          <t>4 Thuốc / 6</t>
        </is>
      </c>
      <c r="G3" s="2" t="inlineStr">
        <is>
          <t>Cân phân tích 04 số lẻ — Cân phân tích 04 số lẻ</t>
        </is>
      </c>
      <c r="H3" s="4" t="n">
        <v>73620000</v>
      </c>
      <c r="I3" s="4">
        <f>IF(H3="","",C3*H3)</f>
        <v/>
      </c>
      <c r="J3" s="4" t="n"/>
      <c r="K3" s="2" t="inlineStr">
        <is>
          <t>Cùng model BCE224i-1S Sartorius.</t>
        </is>
      </c>
      <c r="L3" s="2" t="inlineStr">
        <is>
          <t>Một phần</t>
        </is>
      </c>
      <c r="M3" s="2" t="inlineStr">
        <is>
          <t>44</t>
        </is>
      </c>
    </row>
    <row r="4">
      <c r="A4" s="2" t="n">
        <v>3</v>
      </c>
      <c r="B4" s="2" t="inlineStr">
        <is>
          <t>Cân 2 số SPX6201 Ohaus - Trung Quốc</t>
        </is>
      </c>
      <c r="C4" s="2" t="n">
        <v>2</v>
      </c>
      <c r="D4" s="3" t="inlineStr">
        <is>
          <t>Tương đồng</t>
        </is>
      </c>
      <c r="E4" s="2" t="inlineStr">
        <is>
          <t>Tệp 4_Thuốc</t>
        </is>
      </c>
      <c r="F4" s="2" t="inlineStr">
        <is>
          <t>4 Thuốc / 7</t>
        </is>
      </c>
      <c r="G4" s="2" t="inlineStr">
        <is>
          <t>Cân phân tích 02 số lẻ — Cân phân tích 02 số lẻ</t>
        </is>
      </c>
      <c r="H4" s="4" t="n">
        <v>49030000</v>
      </c>
      <c r="I4" s="4">
        <f>IF(H4="","",C4*H4)</f>
        <v/>
      </c>
      <c r="J4" s="4" t="n"/>
      <c r="K4" s="2" t="inlineStr">
        <is>
          <t>Cân 2 số lẻ BCE2202i (2.200 g/0,01 g); đề cương là SPX6201 (6.200 g/0,1 g).</t>
        </is>
      </c>
      <c r="L4" s="2" t="inlineStr">
        <is>
          <t>Tương đồng</t>
        </is>
      </c>
      <c r="M4" s="2" t="inlineStr">
        <is>
          <t>45</t>
        </is>
      </c>
    </row>
    <row r="5">
      <c r="A5" s="2" t="n">
        <v>4</v>
      </c>
      <c r="B5" s="2" t="inlineStr">
        <is>
          <t>Máy khuấy từ gia nhiệt AREC 7 Velp - Ý</t>
        </is>
      </c>
      <c r="C5" s="2" t="n">
        <v>5</v>
      </c>
      <c r="D5" s="3" t="inlineStr">
        <is>
          <t>Tương đồng</t>
        </is>
      </c>
      <c r="E5" s="2" t="inlineStr">
        <is>
          <t>Tệp 4_Thuốc</t>
        </is>
      </c>
      <c r="F5" s="2" t="inlineStr">
        <is>
          <t>4 Thuốc / 43</t>
        </is>
      </c>
      <c r="G5" s="2" t="inlineStr">
        <is>
          <t>Máy khuấy từ gia nhiệt nhỏ — Máy khuấy từ gia nhiệt nhỏ</t>
        </is>
      </c>
      <c r="H5" s="4" t="n">
        <v>20000000</v>
      </c>
      <c r="I5" s="4">
        <f>IF(H5="","",C5*H5)</f>
        <v/>
      </c>
      <c r="J5" s="4" t="n"/>
      <c r="K5" s="2" t="inlineStr">
        <is>
          <t>Máy khuấy từ gia nhiệt nhỏ (IKA C-MAG HS 7 theo sheet Append1).</t>
        </is>
      </c>
      <c r="L5" s="2" t="inlineStr">
        <is>
          <t>Tương đồng</t>
        </is>
      </c>
      <c r="M5" s="2" t="inlineStr">
        <is>
          <t>24</t>
        </is>
      </c>
    </row>
    <row r="6">
      <c r="A6" s="2" t="n">
        <v>5</v>
      </c>
      <c r="B6" s="2" t="inlineStr">
        <is>
          <t>Bể rửa siêu âm thể tích 6 lít Model: WUC-D06H Hãng sản xuất: Daihan - Hàn Quốc</t>
        </is>
      </c>
      <c r="C6" s="2" t="n">
        <v>2</v>
      </c>
      <c r="D6" s="3" t="inlineStr">
        <is>
          <t>Tương đồng</t>
        </is>
      </c>
      <c r="E6" s="2" t="inlineStr">
        <is>
          <t>Tệp 4_Thuốc</t>
        </is>
      </c>
      <c r="F6" s="2" t="inlineStr">
        <is>
          <t>4 Thuốc / 74</t>
        </is>
      </c>
      <c r="G6" s="2" t="inlineStr">
        <is>
          <t>Bể rửa siêu âm có gia nhiệt — Bể rửa siêu âm có gia nhiệt</t>
        </is>
      </c>
      <c r="H6" s="4" t="n">
        <v>21210000</v>
      </c>
      <c r="I6" s="4">
        <f>IF(H6="","",C6*H6)</f>
        <v/>
      </c>
      <c r="J6" s="4" t="n"/>
      <c r="K6" s="2" t="inlineStr">
        <is>
          <t>Bể rửa siêu âm có gia nhiệt (Elma S10H, khoảng 10 L).</t>
        </is>
      </c>
      <c r="L6" s="2" t="inlineStr">
        <is>
          <t>Trùng model</t>
        </is>
      </c>
      <c r="M6" s="2" t="inlineStr">
        <is>
          <t>26</t>
        </is>
      </c>
    </row>
    <row r="7">
      <c r="A7" s="2" t="n">
        <v>6</v>
      </c>
      <c r="B7" s="2" t="inlineStr">
        <is>
          <t>Tủ sấy UN55 Memmert - Đức</t>
        </is>
      </c>
      <c r="C7" s="2" t="n">
        <v>2</v>
      </c>
      <c r="D7" s="5" t="inlineStr">
        <is>
          <t>Trùng model</t>
        </is>
      </c>
      <c r="E7" s="2" t="inlineStr">
        <is>
          <t>Tệp G9 (2025)</t>
        </is>
      </c>
      <c r="F7" s="2" t="inlineStr">
        <is>
          <t>6 VLYS / 140</t>
        </is>
      </c>
      <c r="G7" s="2" t="inlineStr">
        <is>
          <t>Tủ sấy 300oC — Memmert UN55</t>
        </is>
      </c>
      <c r="H7" s="4" t="n">
        <v>49880000</v>
      </c>
      <c r="I7" s="4">
        <f>IF(H7="","",C7*H7)</f>
        <v/>
      </c>
      <c r="J7" s="4" t="n"/>
      <c r="K7" s="2" t="inlineStr">
        <is>
          <t>Cùng model Memmert UN55.</t>
        </is>
      </c>
      <c r="L7" s="2" t="inlineStr">
        <is>
          <t>Tương đồng</t>
        </is>
      </c>
      <c r="M7" s="2" t="inlineStr">
        <is>
          <t>54</t>
        </is>
      </c>
    </row>
    <row r="8">
      <c r="A8" s="2" t="n">
        <v>7</v>
      </c>
      <c r="B8" s="2" t="inlineStr">
        <is>
          <t>Tủ lạnh Hòa Phát - Việt Nam</t>
        </is>
      </c>
      <c r="C8" s="2" t="n">
        <v>1</v>
      </c>
      <c r="D8" s="3" t="inlineStr">
        <is>
          <t>Tương đồng</t>
        </is>
      </c>
      <c r="E8" s="2" t="inlineStr">
        <is>
          <t>Tệp 4_Thuốc</t>
        </is>
      </c>
      <c r="F8" s="2" t="inlineStr">
        <is>
          <t>4 Thuốc / 78</t>
        </is>
      </c>
      <c r="G8" s="2" t="inlineStr">
        <is>
          <t>Tủ lạnh (loại lớn) — Tủ lạnh (loại lớn)</t>
        </is>
      </c>
      <c r="H8" s="4" t="n">
        <v>42430000</v>
      </c>
      <c r="I8" s="4">
        <f>IF(H8="","",C8*H8)</f>
        <v/>
      </c>
      <c r="J8" s="4" t="n"/>
      <c r="K8" s="2" t="inlineStr">
        <is>
          <t>Tủ lạnh gia dụng loại lớn (Panasonic 550 L), lớn hơn 340 L trong đề cương. Nếu đổi sang tủ chống cháy nổ thì giá này không dùng được.</t>
        </is>
      </c>
      <c r="L8" s="2" t="inlineStr">
        <is>
          <t>Một phần</t>
        </is>
      </c>
      <c r="M8" s="2" t="inlineStr">
        <is>
          <t>85</t>
        </is>
      </c>
    </row>
    <row r="9">
      <c r="A9" s="2" t="n">
        <v>8</v>
      </c>
      <c r="B9" s="2" t="inlineStr">
        <is>
          <t>Tủ đông Hòa Phát - Việt Nam</t>
        </is>
      </c>
      <c r="C9" s="2" t="n">
        <v>1</v>
      </c>
      <c r="D9" s="6" t="inlineStr">
        <is>
          <t>Một phần</t>
        </is>
      </c>
      <c r="E9" s="2" t="inlineStr">
        <is>
          <t>Tệp 4_Thuốc</t>
        </is>
      </c>
      <c r="F9" s="2" t="inlineStr">
        <is>
          <t>4 Thuốc / 13</t>
        </is>
      </c>
      <c r="G9" s="2" t="inlineStr">
        <is>
          <t>Tủ lạnh âm - 30°C — Tủ lạnh âm - 30°C</t>
        </is>
      </c>
      <c r="H9" s="7" t="n"/>
      <c r="I9" s="4">
        <f>IF(H9="","",C9*H9)</f>
        <v/>
      </c>
      <c r="J9" s="4" t="n">
        <v>148800000</v>
      </c>
      <c r="K9" s="2" t="inlineStr">
        <is>
          <t>Tủ âm -30 °C PHC (tủ phòng thí nghiệm), cao cấp hơn tủ đông gia dụng -18 °C; phù hợp với góp ý nâng cấp. Chưa cộng vào tổng.</t>
        </is>
      </c>
      <c r="L9" s="2" t="inlineStr">
        <is>
          <t>Tương đồng</t>
        </is>
      </c>
      <c r="M9" s="2" t="inlineStr">
        <is>
          <t>86</t>
        </is>
      </c>
    </row>
    <row r="10">
      <c r="A10" s="2" t="n">
        <v>9</v>
      </c>
      <c r="B10" s="2" t="inlineStr">
        <is>
          <t>Máy chưng cất nước 2 lần Model: WSC/4D Hãng sản xuất: HAMILTON - Anh</t>
        </is>
      </c>
      <c r="C10" s="2" t="n">
        <v>1</v>
      </c>
      <c r="D10" s="5" t="inlineStr">
        <is>
          <t>Trùng model</t>
        </is>
      </c>
      <c r="E10" s="2" t="inlineStr">
        <is>
          <t>Tệp G9 (2025)</t>
        </is>
      </c>
      <c r="F10" s="2" t="inlineStr">
        <is>
          <t>Append1 / 2644</t>
        </is>
      </c>
      <c r="G10" s="2" t="inlineStr">
        <is>
          <t>Máy cất nước 2 lần — WSC/4D/Hamilton/Anh/sinh 4 lít nước cất 2 lần trên giờ</t>
        </is>
      </c>
      <c r="H10" s="4" t="n">
        <v>100000000</v>
      </c>
      <c r="I10" s="4">
        <f>IF(H10="","",C10*H10)</f>
        <v/>
      </c>
      <c r="J10" s="4" t="n"/>
      <c r="K10" s="2" t="inlineStr">
        <is>
          <t>Cùng model Hamilton WSC/4D (giá ở sheet tổng hợp Append1, số tròn).</t>
        </is>
      </c>
      <c r="L10" s="2" t="inlineStr">
        <is>
          <t>Trùng model</t>
        </is>
      </c>
      <c r="M10" s="2" t="inlineStr">
        <is>
          <t>47</t>
        </is>
      </c>
    </row>
    <row r="11">
      <c r="A11" s="2" t="n">
        <v>10</v>
      </c>
      <c r="B11" s="2" t="inlineStr">
        <is>
          <t>Hệ nước siêu sạch</t>
        </is>
      </c>
      <c r="C11" s="2" t="n">
        <v>1</v>
      </c>
      <c r="D11" s="8" t="inlineStr">
        <is>
          <t>Không có</t>
        </is>
      </c>
      <c r="E11" s="2" t="n"/>
      <c r="F11" s="2" t="n"/>
      <c r="G11" s="2" t="n"/>
      <c r="H11" s="9" t="n"/>
      <c r="I11" s="4">
        <f>IF(H11="","",C11*H11)</f>
        <v/>
      </c>
      <c r="J11" s="4" t="n"/>
      <c r="K11" s="2" t="inlineStr">
        <is>
          <t>Không có hệ nước siêu sạch trong hai tệp.</t>
        </is>
      </c>
      <c r="L11" s="2" t="inlineStr">
        <is>
          <t>Tương đồng</t>
        </is>
      </c>
      <c r="M11" s="2" t="inlineStr">
        <is>
          <t>70</t>
        </is>
      </c>
    </row>
    <row r="12">
      <c r="A12" s="2" t="n">
        <v>11</v>
      </c>
      <c r="B12" s="2" t="inlineStr">
        <is>
          <t>Máy cô quay chân không và phụ kiện Model: N-1300E-W Hãng sản xuất: Tokyo Rikakikai (Eyela) - Nhật Bản</t>
        </is>
      </c>
      <c r="C12" s="2" t="n">
        <v>2</v>
      </c>
      <c r="D12" s="3" t="inlineStr">
        <is>
          <t>Tương đồng</t>
        </is>
      </c>
      <c r="E12" s="2" t="inlineStr">
        <is>
          <t>Tệp 4_Thuốc</t>
        </is>
      </c>
      <c r="F12" s="2" t="inlineStr">
        <is>
          <t>4 Thuốc / 56</t>
        </is>
      </c>
      <c r="G12" s="2" t="inlineStr">
        <is>
          <t>Máy cô quay, bơm chân không, và bộ làm lạnh (100- 1000mL) — Máy cô quay, bơm chân không, và bộ làm lạnh (100- 1000mL)</t>
        </is>
      </c>
      <c r="H12" s="4" t="n">
        <v>295000000</v>
      </c>
      <c r="I12" s="4">
        <f>IF(H12="","",C12*H12)</f>
        <v/>
      </c>
      <c r="J12" s="4" t="n"/>
      <c r="K12" s="2" t="inlineStr">
        <is>
          <t>Eyela N-1300V-WB, bộ gồm bơm chân không và bộ làm lạnh; khắc phục thiếu sót phạm vi cung cấp đã nêu.</t>
        </is>
      </c>
      <c r="L12" s="2" t="inlineStr">
        <is>
          <t>Trùng model</t>
        </is>
      </c>
      <c r="M12" s="2" t="inlineStr">
        <is>
          <t>21</t>
        </is>
      </c>
    </row>
    <row r="13">
      <c r="A13" s="2" t="n">
        <v>12</v>
      </c>
      <c r="B13" s="2" t="inlineStr">
        <is>
          <t>Hệ phản ứng kiểm soát nhiệt, áp suất Model: TOP-HP500 Hãng sản xuất: Toption - Trung Quốc</t>
        </is>
      </c>
      <c r="C13" s="2" t="n">
        <v>2</v>
      </c>
      <c r="D13" s="8" t="inlineStr">
        <is>
          <t>Không có</t>
        </is>
      </c>
      <c r="E13" s="2" t="n"/>
      <c r="F13" s="2" t="n"/>
      <c r="G13" s="2" t="n"/>
      <c r="H13" s="9" t="n"/>
      <c r="I13" s="4">
        <f>IF(H13="","",C13*H13)</f>
        <v/>
      </c>
      <c r="J13" s="4" t="n"/>
      <c r="K13" s="2" t="inlineStr">
        <is>
          <t>"Lò thủy nhiệt" trong tệp là bể ổn nhiệt Memmert WNB, không phải bình phản ứng áp suất.</t>
        </is>
      </c>
      <c r="L13" s="2" t="inlineStr">
        <is>
          <t>Trùng model</t>
        </is>
      </c>
      <c r="M13" s="2" t="inlineStr">
        <is>
          <t>27</t>
        </is>
      </c>
    </row>
    <row r="14">
      <c r="A14" s="2" t="n">
        <v>13</v>
      </c>
      <c r="B14" s="2" t="inlineStr">
        <is>
          <t>Hệ chiết tách</t>
        </is>
      </c>
      <c r="C14" s="2" t="n">
        <v>1</v>
      </c>
      <c r="D14" s="8" t="inlineStr">
        <is>
          <t>Không có</t>
        </is>
      </c>
      <c r="E14" s="2" t="n"/>
      <c r="F14" s="2" t="n"/>
      <c r="G14" s="2" t="n"/>
      <c r="H14" s="9" t="n"/>
      <c r="I14" s="4">
        <f>IF(H14="","",C14*H14)</f>
        <v/>
      </c>
      <c r="J14" s="4" t="n"/>
      <c r="K14" s="2" t="inlineStr">
        <is>
          <t>Chỉ có hệ chiết công nghiệp 1.000 L (xưởng), không tương đương.</t>
        </is>
      </c>
      <c r="L14" s="2" t="inlineStr">
        <is>
          <t>Không có</t>
        </is>
      </c>
      <c r="M14" s="2" t="n"/>
    </row>
    <row r="15">
      <c r="A15" s="2" t="n">
        <v>14</v>
      </c>
      <c r="B15" s="2" t="inlineStr">
        <is>
          <t>Máy quang phổ UV-Vis V730 Jasco - Nhật</t>
        </is>
      </c>
      <c r="C15" s="2" t="n">
        <v>2</v>
      </c>
      <c r="D15" s="3" t="inlineStr">
        <is>
          <t>Tương đồng</t>
        </is>
      </c>
      <c r="E15" s="2" t="inlineStr">
        <is>
          <t>Tệp 4_Thuốc</t>
        </is>
      </c>
      <c r="F15" s="2" t="inlineStr">
        <is>
          <t>4 Thuốc / 76</t>
        </is>
      </c>
      <c r="G15" s="2" t="inlineStr">
        <is>
          <t>Máy quang phổ UV-VIS — Máy quang phổ UV-VIS</t>
        </is>
      </c>
      <c r="H15" s="4" t="n">
        <v>200000000</v>
      </c>
      <c r="I15" s="4">
        <f>IF(H15="","",C15*H15)</f>
        <v/>
      </c>
      <c r="J15" s="4" t="n"/>
      <c r="K15" s="2" t="inlineStr">
        <is>
          <t>Máy UV-Vis Shimadzu UV-1800 (hai chùm tia), tương đương V-730.</t>
        </is>
      </c>
      <c r="L15" s="2" t="inlineStr">
        <is>
          <t>Một phần</t>
        </is>
      </c>
      <c r="M15" s="2" t="inlineStr">
        <is>
          <t>22</t>
        </is>
      </c>
    </row>
    <row r="16">
      <c r="A16" s="2" t="n">
        <v>15</v>
      </c>
      <c r="B16" s="2" t="inlineStr">
        <is>
          <t>Máy sắc ký khí (đầu dò FID, TCD) Model: GC-2030 Hãng sản xuất: Shimadzu - Nhật</t>
        </is>
      </c>
      <c r="C16" s="2" t="n">
        <v>1</v>
      </c>
      <c r="D16" s="8" t="inlineStr">
        <is>
          <t>Không có</t>
        </is>
      </c>
      <c r="E16" s="2" t="n"/>
      <c r="F16" s="2" t="n"/>
      <c r="G16" s="2" t="n"/>
      <c r="H16" s="9" t="n"/>
      <c r="I16" s="4">
        <f>IF(H16="","",C16*H16)</f>
        <v/>
      </c>
      <c r="J16" s="4" t="n"/>
      <c r="K16" s="2" t="inlineStr">
        <is>
          <t>Chỉ có GC-MS (5 tỷ), không có GC-FID/TCD.</t>
        </is>
      </c>
      <c r="L16" s="2" t="inlineStr">
        <is>
          <t>Trùng model</t>
        </is>
      </c>
      <c r="M16" s="2" t="inlineStr">
        <is>
          <t>36</t>
        </is>
      </c>
    </row>
    <row r="17">
      <c r="A17" s="2" t="n">
        <v>16</v>
      </c>
      <c r="B17" s="2" t="inlineStr">
        <is>
          <t>Thiết Bị Đo Kích Thước Hạt và Thế Zeta (Zetasizer Advance Range) Malvern Panalytical Model Zetasizer Pro</t>
        </is>
      </c>
      <c r="C17" s="2" t="n">
        <v>1</v>
      </c>
      <c r="D17" s="3" t="inlineStr">
        <is>
          <t>Tương đồng</t>
        </is>
      </c>
      <c r="E17" s="2" t="inlineStr">
        <is>
          <t>Tệp 4_Thuốc</t>
        </is>
      </c>
      <c r="F17" s="2" t="inlineStr">
        <is>
          <t>4 Thuốc / 59</t>
        </is>
      </c>
      <c r="G17" s="2" t="inlineStr">
        <is>
          <t>Máy đo nano size, điện thế zeta, trọng lượng phân tử protein — Máy đo nano size, điện thế zeta, trọng lượng phân tử protein</t>
        </is>
      </c>
      <c r="H17" s="4" t="n">
        <v>4389940000</v>
      </c>
      <c r="I17" s="4">
        <f>IF(H17="","",C17*H17)</f>
        <v/>
      </c>
      <c r="J17" s="4" t="n"/>
      <c r="K17" s="2" t="inlineStr">
        <is>
          <t>Máy đo kích thước hạt, thế zeta (Zetasizer, NIBS). Đây là hạng mục đắt nhất đã có giá.</t>
        </is>
      </c>
      <c r="L17" s="2" t="inlineStr">
        <is>
          <t>Không có</t>
        </is>
      </c>
      <c r="M17" s="2" t="n"/>
    </row>
    <row r="18">
      <c r="A18" s="2" t="n">
        <v>17</v>
      </c>
      <c r="B18" s="2" t="inlineStr">
        <is>
          <t>Tủ sấy đông khô Model: FDL-2000 Hãng sản xuất: Eyela - Nhật</t>
        </is>
      </c>
      <c r="C18" s="2" t="n">
        <v>2</v>
      </c>
      <c r="D18" s="6" t="inlineStr">
        <is>
          <t>Một phần</t>
        </is>
      </c>
      <c r="E18" s="2" t="inlineStr">
        <is>
          <t>Tệp G9 (2025)</t>
        </is>
      </c>
      <c r="F18" s="2" t="inlineStr">
        <is>
          <t>Append1 / 47</t>
        </is>
      </c>
      <c r="G18" s="2" t="inlineStr">
        <is>
          <t>Máy sấy đông khô — BIOBASE BK -FD100S/Trung Quốc</t>
        </is>
      </c>
      <c r="H18" s="7" t="n"/>
      <c r="I18" s="4">
        <f>IF(H18="","",C18*H18)</f>
        <v/>
      </c>
      <c r="J18" s="4" t="n">
        <v>430000000</v>
      </c>
      <c r="K18" s="2" t="inlineStr">
        <is>
          <t>Máy đông khô Biobase BK-FD100S (loại pilot, lớn hơn FDL-2000 3 L/mẻ). Eyela FDU-2110 là 900 triệu. Chưa cộng vào tổng.</t>
        </is>
      </c>
      <c r="L18" s="2" t="inlineStr">
        <is>
          <t>Trùng model</t>
        </is>
      </c>
      <c r="M18" s="2" t="inlineStr">
        <is>
          <t>72</t>
        </is>
      </c>
    </row>
    <row r="19">
      <c r="A19" s="2" t="n">
        <v>18</v>
      </c>
      <c r="B19" s="2" t="inlineStr">
        <is>
          <t>Máy đồng nhất siêu âm dạng thanh Model: VCX 1500 Hãng sản xuất: Sonics - Mỹ</t>
        </is>
      </c>
      <c r="C19" s="2" t="n">
        <v>1</v>
      </c>
      <c r="D19" s="6" t="inlineStr">
        <is>
          <t>Một phần</t>
        </is>
      </c>
      <c r="E19" s="2" t="inlineStr">
        <is>
          <t>Tệp 4_Thuốc</t>
        </is>
      </c>
      <c r="F19" s="2" t="inlineStr">
        <is>
          <t>4 Thuốc / 47</t>
        </is>
      </c>
      <c r="G19" s="2" t="inlineStr">
        <is>
          <t>Máy đồng hoá siêu âm — Máy đồng hoá siêu âm</t>
        </is>
      </c>
      <c r="H19" s="7" t="n"/>
      <c r="I19" s="4">
        <f>IF(H19="","",C19*H19)</f>
        <v/>
      </c>
      <c r="J19" s="4" t="n">
        <v>320000000</v>
      </c>
      <c r="K19" s="2" t="inlineStr">
        <is>
          <t>Sonics VC505 (500 W), nhỏ hơn VCX 1500 (1.500 W). Chưa cộng vào tổng.</t>
        </is>
      </c>
      <c r="L19" s="2" t="inlineStr">
        <is>
          <t>Trùng model</t>
        </is>
      </c>
      <c r="M19" s="2" t="inlineStr">
        <is>
          <t>23</t>
        </is>
      </c>
    </row>
    <row r="20">
      <c r="A20" s="2" t="n">
        <v>19</v>
      </c>
      <c r="B20" s="2" t="inlineStr">
        <is>
          <t>Máy đồng hóa tốc độ cao T25 digital ultra-turrax IKA - Đức</t>
        </is>
      </c>
      <c r="C20" s="2" t="n">
        <v>1</v>
      </c>
      <c r="D20" s="5" t="inlineStr">
        <is>
          <t>Trùng model</t>
        </is>
      </c>
      <c r="E20" s="2" t="inlineStr">
        <is>
          <t>Tệp G9 (2025)</t>
        </is>
      </c>
      <c r="F20" s="2" t="inlineStr">
        <is>
          <t>Append1 / 158</t>
        </is>
      </c>
      <c r="G20" s="2" t="inlineStr">
        <is>
          <t>Máy khuấy nhũ hoá tốc độ cao — T25 digital/IKA/Malaysia Dung tích tối thiểu. (H2O): 0.001 l Dung tích tối đa (H2O): 02 l Độ nhớt tối đa: 5000 mPas Phạm vi tốc độ: 3000 - 25000 rpm Độ lệch tốc</t>
        </is>
      </c>
      <c r="H20" s="4" t="n">
        <v>135000000</v>
      </c>
      <c r="I20" s="4">
        <f>IF(H20="","",C20*H20)</f>
        <v/>
      </c>
      <c r="J20" s="4" t="n"/>
      <c r="K20" s="2" t="inlineStr">
        <is>
          <t>Cùng model IKA T25 digital (giá ở sheet Append1).</t>
        </is>
      </c>
      <c r="L20" s="2" t="inlineStr">
        <is>
          <t>Không có</t>
        </is>
      </c>
      <c r="M20" s="2" t="n"/>
    </row>
    <row r="21">
      <c r="A21" s="2" t="n">
        <v>20</v>
      </c>
      <c r="B21" s="2" t="inlineStr">
        <is>
          <t>Máy ly tâm tốc độ cao (có làm lạnh) Model: Z032-HK-E Hãng sản xuất: HERMLE - Benchmark</t>
        </is>
      </c>
      <c r="C21" s="2" t="n">
        <v>1</v>
      </c>
      <c r="D21" s="3" t="inlineStr">
        <is>
          <t>Tương đồng</t>
        </is>
      </c>
      <c r="E21" s="2" t="inlineStr">
        <is>
          <t>Tệp G9 (2025)</t>
        </is>
      </c>
      <c r="F21" s="2" t="inlineStr">
        <is>
          <t>3 CNTBĐV / 24</t>
        </is>
      </c>
      <c r="G21" s="2" t="inlineStr">
        <is>
          <t>Máy ly tâm lạnh đa năng — Tốc độ tối đa: 18.000 vòng / phút RCF tối đa: 23,542xg Sức chứa tối đa của rotor: 4 x 200ml Dải tốc độ: 200 – 18,000 vòng / phút Dải nhiệt độ: -20oC ~ 40oC Thời</t>
        </is>
      </c>
      <c r="H21" s="4" t="n">
        <v>479210000</v>
      </c>
      <c r="I21" s="4">
        <f>IF(H21="","",C21*H21)</f>
        <v/>
      </c>
      <c r="J21" s="4" t="n"/>
      <c r="K21" s="2" t="inlineStr">
        <is>
          <t>Ly tâm lạnh đa năng 18.000 vòng/phút, 23.542 ×g, rotor 4 × 200 mL (Hermle Z327K).</t>
        </is>
      </c>
      <c r="L21" s="2" t="inlineStr">
        <is>
          <t>Không có</t>
        </is>
      </c>
      <c r="M21" s="2" t="n"/>
    </row>
    <row r="22">
      <c r="A22" s="2" t="n">
        <v>21</v>
      </c>
      <c r="B22" s="2" t="inlineStr">
        <is>
          <t>Máy TGA-FTIR</t>
        </is>
      </c>
      <c r="C22" s="2" t="n">
        <v>1</v>
      </c>
      <c r="D22" s="6" t="inlineStr">
        <is>
          <t>Một phần</t>
        </is>
      </c>
      <c r="E22" s="2" t="inlineStr">
        <is>
          <t>Tệp G9 (2025)</t>
        </is>
      </c>
      <c r="F22" s="2" t="inlineStr">
        <is>
          <t>6 VLYS / 314</t>
        </is>
      </c>
      <c r="G22" s="2" t="inlineStr">
        <is>
          <t>Máy phân tích nhiệt TGA, DSC 1600oC (TGA/DSC 3+ - Thermogravimetric Analyzer with high temperature furnace (HT) — Hãng sx: Mettler- Toledo AG, Model: Analytical CH-8603 Schwerzenbach, Switzerland</t>
        </is>
      </c>
      <c r="H22" s="7" t="n"/>
      <c r="I22" s="4">
        <f>IF(H22="","",C22*H22)</f>
        <v/>
      </c>
      <c r="J22" s="4" t="n">
        <v>3696070000</v>
      </c>
      <c r="K22" s="2" t="inlineStr">
        <is>
          <t>Chỉ có TGA/DSC 3+ Mettler (1600 °C), không có FTIR ghép nối; FTIR Bruker Vertex 70v ở Append1 là 1,2 tỷ. Chưa cộng vào tổng.</t>
        </is>
      </c>
      <c r="L22" s="2" t="inlineStr">
        <is>
          <t>Một phần</t>
        </is>
      </c>
      <c r="M22" s="2" t="inlineStr">
        <is>
          <t>55, 2</t>
        </is>
      </c>
    </row>
    <row r="23">
      <c r="A23" s="2" t="n">
        <v>22</v>
      </c>
      <c r="B23" s="2" t="inlineStr">
        <is>
          <t>Máy quang phổ hấp thụ nguyên tử ZA4300 Hitachi - Nhật</t>
        </is>
      </c>
      <c r="C23" s="2" t="n">
        <v>1</v>
      </c>
      <c r="D23" s="8" t="inlineStr">
        <is>
          <t>Không có</t>
        </is>
      </c>
      <c r="E23" s="2" t="n"/>
      <c r="F23" s="2" t="n"/>
      <c r="G23" s="2" t="n"/>
      <c r="H23" s="9" t="n"/>
      <c r="I23" s="4">
        <f>IF(H23="","",C23*H23)</f>
        <v/>
      </c>
      <c r="J23" s="4" t="n"/>
      <c r="K23" s="2" t="inlineStr">
        <is>
          <t>Không có AAS.</t>
        </is>
      </c>
      <c r="L23" s="2" t="inlineStr">
        <is>
          <t>Không có</t>
        </is>
      </c>
      <c r="M23" s="2" t="n"/>
    </row>
    <row r="24">
      <c r="A24" s="2" t="n">
        <v>23</v>
      </c>
      <c r="B24" s="2" t="inlineStr">
        <is>
          <t>Máy đo kéo đa năng</t>
        </is>
      </c>
      <c r="C24" s="2" t="n">
        <v>1</v>
      </c>
      <c r="D24" s="8" t="inlineStr">
        <is>
          <t>Không có</t>
        </is>
      </c>
      <c r="E24" s="2" t="n"/>
      <c r="F24" s="2" t="n"/>
      <c r="G24" s="2" t="n"/>
      <c r="H24" s="9" t="n"/>
      <c r="I24" s="4">
        <f>IF(H24="","",C24*H24)</f>
        <v/>
      </c>
      <c r="J24" s="4" t="n"/>
      <c r="K24" s="2" t="inlineStr">
        <is>
          <t>Không có máy kéo đa năng.</t>
        </is>
      </c>
      <c r="L24" s="2" t="inlineStr">
        <is>
          <t>Một phần</t>
        </is>
      </c>
      <c r="M24" s="2" t="inlineStr">
        <is>
          <t>9</t>
        </is>
      </c>
    </row>
    <row r="25">
      <c r="A25" s="2" t="n">
        <v>24</v>
      </c>
      <c r="B25" s="2" t="inlineStr">
        <is>
          <t>Máy đo độ dẫn đa năng 4 đầu</t>
        </is>
      </c>
      <c r="C25" s="2" t="n">
        <v>1</v>
      </c>
      <c r="D25" s="8" t="inlineStr">
        <is>
          <t>Không có</t>
        </is>
      </c>
      <c r="E25" s="2" t="n"/>
      <c r="F25" s="2" t="n"/>
      <c r="G25" s="2" t="n"/>
      <c r="H25" s="9" t="n"/>
      <c r="I25" s="4">
        <f>IF(H25="","",C25*H25)</f>
        <v/>
      </c>
      <c r="J25" s="4" t="n"/>
      <c r="K25" s="2" t="inlineStr">
        <is>
          <t>Không có máy đo độ dẫn 4 đầu.</t>
        </is>
      </c>
      <c r="L25" s="2" t="inlineStr">
        <is>
          <t>Không có</t>
        </is>
      </c>
      <c r="M25" s="2" t="n"/>
    </row>
    <row r="26">
      <c r="A26" s="2" t="n">
        <v>25</v>
      </c>
      <c r="B26" s="2" t="inlineStr">
        <is>
          <t>Lò nung ống Model: KJ-TCVD1200-S80LK2W Hãng sản xuất: KJ Technology - TQ</t>
        </is>
      </c>
      <c r="C26" s="2" t="n">
        <v>2</v>
      </c>
      <c r="D26" s="3" t="inlineStr">
        <is>
          <t>Tương đồng</t>
        </is>
      </c>
      <c r="E26" s="2" t="inlineStr">
        <is>
          <t>Tệp G9 (2025)</t>
        </is>
      </c>
      <c r="F26" s="2" t="inlineStr">
        <is>
          <t>Append1 / 1011</t>
        </is>
      </c>
      <c r="G26" s="2" t="inlineStr">
        <is>
          <t>Lò nung ống 2 vùng nhiệt độ - có bơm chân không — GSS70600/Hàn Quốc</t>
        </is>
      </c>
      <c r="H26" s="4" t="n">
        <v>500000000</v>
      </c>
      <c r="I26" s="4">
        <f>IF(H26="","",C26*H26)</f>
        <v/>
      </c>
      <c r="J26" s="4" t="n"/>
      <c r="K26" s="2" t="inlineStr">
        <is>
          <t>Lò nung ống 2 vùng có bơm chân không (GSS70600, Hàn Quốc); giá có thể cao hơn lò KJ (Trung Quốc).</t>
        </is>
      </c>
      <c r="L26" s="2" t="inlineStr">
        <is>
          <t>Trùng model</t>
        </is>
      </c>
      <c r="M26" s="2" t="inlineStr">
        <is>
          <t>41, 46</t>
        </is>
      </c>
    </row>
    <row r="27">
      <c r="A27" s="2" t="n">
        <v>26</v>
      </c>
      <c r="B27" s="2" t="inlineStr">
        <is>
          <t>Hệ thống máy đo độ hòa tan, 8 vị trí + hệ thống lấy mẫu tự động 708-DS Dissolution Apparatus, 8-position Agilent - Mỹ</t>
        </is>
      </c>
      <c r="C27" s="2" t="n">
        <v>1</v>
      </c>
      <c r="D27" s="8" t="inlineStr">
        <is>
          <t>Không có</t>
        </is>
      </c>
      <c r="E27" s="2" t="n"/>
      <c r="F27" s="2" t="n"/>
      <c r="G27" s="2" t="n"/>
      <c r="H27" s="9" t="n"/>
      <c r="I27" s="4">
        <f>IF(H27="","",C27*H27)</f>
        <v/>
      </c>
      <c r="J27" s="4" t="n"/>
      <c r="K27" s="2" t="inlineStr">
        <is>
          <t>Chỉ có máy đo độ tan rã thuốc (60 triệu), khác thiết bị đo độ hòa tan.</t>
        </is>
      </c>
      <c r="L27" s="2" t="inlineStr">
        <is>
          <t>Không có</t>
        </is>
      </c>
      <c r="M27" s="2" t="n"/>
    </row>
    <row r="28">
      <c r="A28" s="2" t="n">
        <v>27</v>
      </c>
      <c r="B28" s="2" t="inlineStr">
        <is>
          <t>Bộ điều chỉnh điện áp đa kênh gồm 8 kênh, EIS*1 Ký mã hiệu: CS310X (Option C, 8-channel, EIS*1) Hãng sản xuất: Corrtest Xuất xứ: Trung Quốc</t>
        </is>
      </c>
      <c r="C28" s="2" t="n">
        <v>1</v>
      </c>
      <c r="D28" s="6" t="inlineStr">
        <is>
          <t>Một phần</t>
        </is>
      </c>
      <c r="E28" s="2" t="inlineStr">
        <is>
          <t>Tệp G9 (2025)</t>
        </is>
      </c>
      <c r="F28" s="2" t="inlineStr">
        <is>
          <t>Append1 / 901</t>
        </is>
      </c>
      <c r="G28" s="2" t="inlineStr">
        <is>
          <t>CS350M Potentiostat/Galvan ostat with EIS — Potential Control: ±10 V (customizable to ±12 V) Current Control: ±2 A, 10 automatic ranges (2 nA - 2 A) Compliance Voltage: ±21 V Accuracy: 0.1 % of full range</t>
        </is>
      </c>
      <c r="H28" s="7" t="n"/>
      <c r="I28" s="4">
        <f>IF(H28="","",C28*H28)</f>
        <v/>
      </c>
      <c r="J28" s="4" t="n">
        <v>80000000</v>
      </c>
      <c r="K28" s="2" t="inlineStr">
        <is>
          <t>Corrtest CS350M, 1 kênh có EIS, 80 triệu; đề cương là hệ 8 kênh. Chưa cộng vào tổng.</t>
        </is>
      </c>
      <c r="L28" s="2" t="inlineStr">
        <is>
          <t>Một phần</t>
        </is>
      </c>
      <c r="M28" s="2" t="inlineStr">
        <is>
          <t>12</t>
        </is>
      </c>
    </row>
    <row r="29">
      <c r="A29" s="2" t="n">
        <v>28</v>
      </c>
      <c r="B29" s="2" t="inlineStr">
        <is>
          <t>Máy đo phổ quang phát quang PL</t>
        </is>
      </c>
      <c r="C29" s="2" t="n">
        <v>1</v>
      </c>
      <c r="D29" s="8" t="inlineStr">
        <is>
          <t>Không có</t>
        </is>
      </c>
      <c r="E29" s="2" t="n"/>
      <c r="F29" s="2" t="n"/>
      <c r="G29" s="2" t="n"/>
      <c r="H29" s="9" t="n"/>
      <c r="I29" s="4">
        <f>IF(H29="","",C29*H29)</f>
        <v/>
      </c>
      <c r="J29" s="4" t="n"/>
      <c r="K29" s="2" t="inlineStr">
        <is>
          <t>Không có máy huỳnh quang/PL (chỉ có máy đọc vi đĩa, kính hiển vi huỳnh quang).</t>
        </is>
      </c>
      <c r="L29" s="2" t="inlineStr">
        <is>
          <t>Tương đồng</t>
        </is>
      </c>
      <c r="M29" s="2" t="inlineStr">
        <is>
          <t>42</t>
        </is>
      </c>
    </row>
    <row r="30">
      <c r="A30" s="2" t="inlineStr"/>
      <c r="B30" s="10" t="inlineStr">
        <is>
          <t>TỔNG các hạng mục đã có giá tạm</t>
        </is>
      </c>
      <c r="C30" s="2" t="inlineStr"/>
      <c r="D30" s="2" t="inlineStr"/>
      <c r="E30" s="2" t="inlineStr"/>
      <c r="F30" s="2" t="inlineStr"/>
      <c r="G30" s="2" t="inlineStr"/>
      <c r="H30" s="4" t="inlineStr"/>
      <c r="I30" s="11">
        <f>SUM(I2:I29)</f>
        <v/>
      </c>
      <c r="J30" s="4">
        <f>SUMPRODUCT(C2:C29,J2:J29)</f>
        <v/>
      </c>
      <c r="K30" s="2" t="inlineStr">
        <is>
          <t>Cột J: tổng nếu lấy cả giá "Một phần" (nhân số lượng)</t>
        </is>
      </c>
      <c r="L30" s="2" t="n"/>
      <c r="M30" s="2" t="n"/>
    </row>
    <row r="31">
      <c r="A31" s="2" t="inlineStr"/>
      <c r="B31" s="10" t="inlineStr">
        <is>
          <t>Số hạng mục chưa có giá tạm</t>
        </is>
      </c>
      <c r="C31" s="2" t="inlineStr"/>
      <c r="D31" s="2" t="inlineStr"/>
      <c r="E31" s="2" t="inlineStr"/>
      <c r="F31" s="2" t="inlineStr"/>
      <c r="G31" s="2" t="inlineStr"/>
      <c r="H31" s="4" t="inlineStr"/>
      <c r="I31" s="11">
        <f>COUNTBLANK(H2:H29)</f>
        <v/>
      </c>
      <c r="J31" s="4" t="inlineStr"/>
      <c r="K31" s="2" t="inlineStr"/>
      <c r="L31" s="2" t="n"/>
      <c r="M31" s="2" t="n"/>
    </row>
    <row r="32">
      <c r="A32" s="2" t="inlineStr"/>
      <c r="B32" s="10" t="inlineStr">
        <is>
          <t>Tổng kinh phí tối đa</t>
        </is>
      </c>
      <c r="C32" s="2" t="inlineStr"/>
      <c r="D32" s="2" t="inlineStr"/>
      <c r="E32" s="2" t="inlineStr"/>
      <c r="F32" s="2" t="inlineStr"/>
      <c r="G32" s="2" t="inlineStr"/>
      <c r="H32" s="4" t="inlineStr"/>
      <c r="I32" s="11" t="n">
        <v>15000000000</v>
      </c>
      <c r="J32" s="4" t="inlineStr"/>
      <c r="K32" s="2" t="inlineStr"/>
      <c r="L32" s="2" t="n"/>
      <c r="M32" s="2" t="n"/>
    </row>
    <row r="33">
      <c r="A33" s="2" t="inlineStr"/>
      <c r="B33" s="10" t="inlineStr">
        <is>
          <t>Còn lại cho các hạng mục chưa có giá và hạng mục bổ sung</t>
        </is>
      </c>
      <c r="C33" s="2" t="inlineStr"/>
      <c r="D33" s="2" t="inlineStr"/>
      <c r="E33" s="2" t="inlineStr"/>
      <c r="F33" s="2" t="inlineStr"/>
      <c r="G33" s="2" t="inlineStr"/>
      <c r="H33" s="4" t="inlineStr"/>
      <c r="I33" s="11">
        <f>I32-I30</f>
        <v/>
      </c>
      <c r="J33" s="4" t="inlineStr"/>
      <c r="K33" s="2" t="inlineStr"/>
      <c r="L33" s="2" t="n"/>
      <c r="M3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8" customWidth="1" min="4" max="4"/>
    <col width="42" customWidth="1" min="5" max="5"/>
    <col width="2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STT</t>
        </is>
      </c>
      <c r="B1" s="1" t="inlineStr">
        <is>
          <t>Thiết bị đề xuất bổ sung</t>
        </is>
      </c>
      <c r="C1" s="1" t="inlineStr">
        <is>
          <t>Lý do (theo báo cáo rà soát)</t>
        </is>
      </c>
      <c r="D1" s="1" t="inlineStr">
        <is>
          <t>Số lượng</t>
        </is>
      </c>
      <c r="E1" s="1" t="inlineStr">
        <is>
          <t>Thiết bị tham chiếu</t>
        </is>
      </c>
      <c r="F1" s="1" t="inlineStr">
        <is>
          <t>Nguồn / sheet / dòng</t>
        </is>
      </c>
      <c r="G1" s="1" t="inlineStr">
        <is>
          <t>Đơn giá tham khảo (đồng)</t>
        </is>
      </c>
      <c r="H1" s="1" t="inlineStr">
        <is>
          <t>Thành tiền (đồng)</t>
        </is>
      </c>
      <c r="I1" s="1" t="inlineStr">
        <is>
          <t>Ưu tiên</t>
        </is>
      </c>
    </row>
    <row r="2">
      <c r="A2" s="2" t="n">
        <v>1</v>
      </c>
      <c r="B2" s="2" t="inlineStr">
        <is>
          <t>Máy đo pH để bàn</t>
        </is>
      </c>
      <c r="C2" s="2" t="inlineStr">
        <is>
          <t>Thiết bị nền dùng hằng ngày; danh mục chưa có.</t>
        </is>
      </c>
      <c r="D2" s="2" t="n">
        <v>1</v>
      </c>
      <c r="E2" s="2" t="inlineStr">
        <is>
          <t>Máy đo pH — Máy đo pH</t>
        </is>
      </c>
      <c r="F2" s="2" t="inlineStr">
        <is>
          <t>Tệp 4_Thuốc / 4 Thuốc / 17</t>
        </is>
      </c>
      <c r="G2" s="4" t="n">
        <v>35360000</v>
      </c>
      <c r="H2" s="4">
        <f>D2*G2</f>
        <v/>
      </c>
      <c r="I2" s="2" t="inlineStr">
        <is>
          <t>Nên bổ sung</t>
        </is>
      </c>
    </row>
    <row r="3">
      <c r="A3" s="2" t="n">
        <v>2</v>
      </c>
      <c r="B3" s="2" t="inlineStr">
        <is>
          <t>Lò nung buồng (muffle) 1100 °C</t>
        </is>
      </c>
      <c r="C3" s="2" t="inlineStr">
        <is>
          <t>Danh mục chỉ có 02 lò ống; thiếu lò nung buồng cho nung, tro hóa. Có thể đổi 01 lò ống lấy lò này.</t>
        </is>
      </c>
      <c r="D3" s="2" t="n">
        <v>1</v>
      </c>
      <c r="E3" s="2" t="inlineStr">
        <is>
          <t>Lò nung khí trơ — Lò nung khí trơ</t>
        </is>
      </c>
      <c r="F3" s="2" t="inlineStr">
        <is>
          <t>Tệp 4_Thuốc / 4 Thuốc / 48</t>
        </is>
      </c>
      <c r="G3" s="4" t="n">
        <v>323090000</v>
      </c>
      <c r="H3" s="4">
        <f>D3*G3</f>
        <v/>
      </c>
      <c r="I3" s="2" t="inlineStr">
        <is>
          <t>Nên bổ sung</t>
        </is>
      </c>
    </row>
    <row r="4">
      <c r="A4" s="2" t="n">
        <v>3</v>
      </c>
      <c r="B4" s="2" t="inlineStr">
        <is>
          <t>Tủ đựng hóa chất có lọc than hoạt tính</t>
        </is>
      </c>
      <c r="C4" s="2" t="inlineStr">
        <is>
          <t>An toàn lưu trữ dung môi, hóa chất bay hơi.</t>
        </is>
      </c>
      <c r="D4" s="2" t="n">
        <v>2</v>
      </c>
      <c r="E4" s="2" t="inlineStr">
        <is>
          <t>Tủ đựng hóa chất có lọc cacbon — Model: ATV-BFH 1200 Nhà sản xuất: AirTech</t>
        </is>
      </c>
      <c r="F4" s="2" t="inlineStr">
        <is>
          <t>Tệp G9 (2025) / Append1 / 1005</t>
        </is>
      </c>
      <c r="G4" s="4" t="n">
        <v>90000000</v>
      </c>
      <c r="H4" s="4">
        <f>D4*G4</f>
        <v/>
      </c>
      <c r="I4" s="2" t="inlineStr">
        <is>
          <t>Nên bổ sung</t>
        </is>
      </c>
    </row>
    <row r="5">
      <c r="A5" s="2" t="n">
        <v>4</v>
      </c>
      <c r="B5" s="2" t="inlineStr">
        <is>
          <t>Máy khuấy cơ (đũa) 5–300 vòng/phút</t>
        </is>
      </c>
      <c r="C5" s="2" t="inlineStr">
        <is>
          <t>Tổng hợp với hỗn hợp nhớt, thể tích lớn.</t>
        </is>
      </c>
      <c r="D5" s="2" t="n">
        <v>2</v>
      </c>
      <c r="E5" s="2" t="inlineStr">
        <is>
          <t>Máy khuấy cơ 05 - 300rpm — Máy khuấy cơ 05 - 300rpm</t>
        </is>
      </c>
      <c r="F5" s="2" t="inlineStr">
        <is>
          <t>Tệp 4_Thuốc / 4 Thuốc / 75</t>
        </is>
      </c>
      <c r="G5" s="4" t="n">
        <v>52700000</v>
      </c>
      <c r="H5" s="4">
        <f>D5*G5</f>
        <v/>
      </c>
      <c r="I5" s="2" t="inlineStr">
        <is>
          <t>Cân nhắc</t>
        </is>
      </c>
    </row>
    <row r="6">
      <c r="A6" s="2" t="n">
        <v>5</v>
      </c>
      <c r="B6" s="2" t="inlineStr">
        <is>
          <t>Máy phân tích độ ẩm (cân sấy ẩm)</t>
        </is>
      </c>
      <c r="C6" s="2" t="inlineStr">
        <is>
          <t>Xác định độ ẩm mẫu, dược liệu, vật liệu.</t>
        </is>
      </c>
      <c r="D6" s="2" t="n">
        <v>1</v>
      </c>
      <c r="E6" s="2" t="inlineStr">
        <is>
          <t>Máy Phân Tích Độ Ẩm — Máy Phân Tích Độ Ẩm</t>
        </is>
      </c>
      <c r="F6" s="2" t="inlineStr">
        <is>
          <t>Tệp 4_Thuốc / 4 Thuốc / 73</t>
        </is>
      </c>
      <c r="G6" s="4" t="n">
        <v>27500000</v>
      </c>
      <c r="H6" s="4">
        <f>D6*G6</f>
        <v/>
      </c>
      <c r="I6" s="2" t="inlineStr">
        <is>
          <t>Cân nhắc</t>
        </is>
      </c>
    </row>
    <row r="7">
      <c r="A7" s="2" t="n">
        <v>6</v>
      </c>
      <c r="B7" s="2" t="inlineStr">
        <is>
          <t>Bể điều nhiệt 45 L</t>
        </is>
      </c>
      <c r="C7" s="2" t="inlineStr">
        <is>
          <t>Kiểm soát nhiệt độ phản ứng, thử độ bền.</t>
        </is>
      </c>
      <c r="D7" s="2" t="n">
        <v>1</v>
      </c>
      <c r="E7" s="2" t="inlineStr">
        <is>
          <t>Bể điều nhiệt — Bể điều nhiệt</t>
        </is>
      </c>
      <c r="F7" s="2" t="inlineStr">
        <is>
          <t>Tệp 4_Thuốc / 4 Thuốc / 50</t>
        </is>
      </c>
      <c r="G7" s="4" t="n">
        <v>60040000</v>
      </c>
      <c r="H7" s="4">
        <f>D7*G7</f>
        <v/>
      </c>
      <c r="I7" s="2" t="inlineStr">
        <is>
          <t>Cân nhắc</t>
        </is>
      </c>
    </row>
    <row r="8">
      <c r="A8" s="2" t="n">
        <v>7</v>
      </c>
      <c r="B8" s="2" t="inlineStr">
        <is>
          <t>Tủ âm -30 °C (thay tủ đông gia dụng)</t>
        </is>
      </c>
      <c r="C8" s="2" t="inlineStr">
        <is>
          <t>Nâng cấp dòng 8 theo góp ý an toàn và bảo quản mẫu.</t>
        </is>
      </c>
      <c r="D8" s="2" t="n">
        <v>1</v>
      </c>
      <c r="E8" s="2" t="inlineStr">
        <is>
          <t>Tủ lạnh âm - 30°C — Tủ lạnh âm - 30°C</t>
        </is>
      </c>
      <c r="F8" s="2" t="inlineStr">
        <is>
          <t>Tệp 4_Thuốc / 4 Thuốc / 13</t>
        </is>
      </c>
      <c r="G8" s="4" t="n">
        <v>148800000</v>
      </c>
      <c r="H8" s="4">
        <f>D8*G8</f>
        <v/>
      </c>
      <c r="I8" s="2" t="inlineStr">
        <is>
          <t>Thay thế dòng 8</t>
        </is>
      </c>
    </row>
    <row r="9">
      <c r="A9" s="2" t="n">
        <v>8</v>
      </c>
      <c r="B9" s="2" t="inlineStr">
        <is>
          <t>Hệ thống HPLC đầu dò PDA/RID</t>
        </is>
      </c>
      <c r="C9" s="2" t="inlineStr">
        <is>
          <t>Thiết bị trung tâm cho hóa hữu cơ, hợp chất thiên nhiên, hóa dược; giá cao, chỉ bổ sung nếu cắt hạng mục khác (ví dụ hệ đo độ hòa tan hoặc Zetasizer).</t>
        </is>
      </c>
      <c r="D9" s="2" t="n">
        <v>1</v>
      </c>
      <c r="E9" s="2" t="inlineStr">
        <is>
          <t>Máy sắc ký lỏng HPLC PAD/RID — LC-40D XR SPD-M40 RID-20A/Shimadzu - Nhật</t>
        </is>
      </c>
      <c r="F9" s="2" t="inlineStr">
        <is>
          <t>Tệp G9 (2025) / Append1 / 2441</t>
        </is>
      </c>
      <c r="G9" s="4" t="n">
        <v>2860000000</v>
      </c>
      <c r="H9" s="4">
        <f>D9*G9</f>
        <v/>
      </c>
      <c r="I9" s="2" t="inlineStr">
        <is>
          <t>Chỉ khi cắt giảm hạng mục khác</t>
        </is>
      </c>
    </row>
    <row r="10">
      <c r="A10" s="2" t="inlineStr"/>
      <c r="B10" s="2" t="inlineStr">
        <is>
          <t>Tổng nhóm "Nên bổ sung"</t>
        </is>
      </c>
      <c r="C10" s="2" t="inlineStr"/>
      <c r="D10" s="2" t="inlineStr"/>
      <c r="E10" s="2" t="inlineStr"/>
      <c r="F10" s="2" t="inlineStr"/>
      <c r="G10" s="4" t="inlineStr"/>
      <c r="H10" s="4">
        <f>SUMIF(I2:I9,"Nên bổ sung",H2:H9)</f>
        <v/>
      </c>
      <c r="I10" s="2" t="inlineStr"/>
    </row>
    <row r="11">
      <c r="A11" s="2" t="inlineStr"/>
      <c r="B11" s="2" t="inlineStr">
        <is>
          <t>Tổng nhóm "Cân nhắc"</t>
        </is>
      </c>
      <c r="C11" s="2" t="inlineStr"/>
      <c r="D11" s="2" t="inlineStr"/>
      <c r="E11" s="2" t="inlineStr"/>
      <c r="F11" s="2" t="inlineStr"/>
      <c r="G11" s="4" t="inlineStr"/>
      <c r="H11" s="4">
        <f>SUMIF(I2:I9,"Cân nhắc",H2:H9)</f>
        <v/>
      </c>
      <c r="I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2" t="inlineStr">
        <is>
          <t>Mục</t>
        </is>
      </c>
      <c r="B1" s="12" t="inlineStr">
        <is>
          <t>Nội dung</t>
        </is>
      </c>
    </row>
    <row r="2">
      <c r="A2" s="12" t="inlineStr">
        <is>
          <t>Nguồn giá</t>
        </is>
      </c>
      <c r="B2" s="13" t="inlineStr">
        <is>
          <t>(1) Tệp "4_Thuốc": đơn giá sau thuế, bản đã cắt giảm (ưu tiên sử dụng). (2) Tệp "Danh mục thiết bị G9 ... 09.08 sau khi giảm bớt": các sheet theo phòng thí nghiệm (cập nhật 05/08/2025) và sheet tổng hợp Append1 (giá số tròn, bản đề xuất ban đầu). Thứ tự ưu tiên: 4_Thuốc &gt; sheet theo phòng thí nghiệm &gt; Append1.</t>
        </is>
      </c>
    </row>
    <row r="3">
      <c r="A3" s="12" t="inlineStr">
        <is>
          <t>Thời điểm giá</t>
        </is>
      </c>
      <c r="B3" s="13" t="inlineStr">
        <is>
          <t>Giá thuộc năm 2025; cần cập nhật báo giá năm 2026 trước khi lập dự toán chính thức.</t>
        </is>
      </c>
    </row>
    <row r="4">
      <c r="A4" s="12" t="inlineStr">
        <is>
          <t>Trùng model</t>
        </is>
      </c>
      <c r="B4" s="13" t="inlineStr">
        <is>
          <t>Cùng model: dùng đơn giá.</t>
        </is>
      </c>
    </row>
    <row r="5">
      <c r="A5" s="12" t="inlineStr">
        <is>
          <t>Tương đồng</t>
        </is>
      </c>
      <c r="B5" s="13" t="inlineStr">
        <is>
          <t>Cùng loại, cấu hình gần tương đương: dùng làm giá tạm.</t>
        </is>
      </c>
    </row>
    <row r="6">
      <c r="A6" s="12" t="inlineStr">
        <is>
          <t>Một phần</t>
        </is>
      </c>
      <c r="B6" s="13" t="inlineStr">
        <is>
          <t>Cùng nhóm nhưng khác cấu hình đáng kể: ghi ở cột "Giá tham khảo", không cộng vào tổng; cần quyết định.</t>
        </is>
      </c>
    </row>
    <row r="7">
      <c r="A7" s="12" t="inlineStr">
        <is>
          <t>Không có</t>
        </is>
      </c>
      <c r="B7" s="13" t="inlineStr">
        <is>
          <t>Không có trong hai tệp: để trống, cần tìm báo giá.</t>
        </is>
      </c>
    </row>
    <row r="8">
      <c r="A8" s="12" t="inlineStr">
        <is>
          <t>Hệ máy tính đã bỏ</t>
        </is>
      </c>
      <c r="B8" s="13" t="inlineStr">
        <is>
          <t>Tệp 4_Thuốc có "Hệ thống máy vi tính hiệu năng cao chuyên dụng" 542.860.000 đồng; đây là mức kinh phí tham khảo tiết kiệm được khi bỏ hạng mục hệ máy tính.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2026-09-25T12:29:02Z</dcterms:created>
  <dcterms:modified xmlns:dcterms="http://purl.org/dc/terms/" xmlns:xsi="http://www.w3.org/2001/XMLSchema-instance" xsi:type="dcterms:W3CDTF">2026-09-25T12:29:02Z</dcterms:modified>
</cp:coreProperties>
</file>