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4240" windowHeight="13020" tabRatio="600" firstSheet="0" activeTab="0" autoFilterDateGrouping="1"/>
  </bookViews>
  <sheets>
    <sheet name="Tổng hợp" sheetId="1" state="visible" r:id="rId1"/>
    <sheet name="6.HK1-CHT10039" sheetId="2" state="visible" r:id="rId2"/>
    <sheet name="7.HK1-CHT10052" sheetId="3" state="visible" r:id="rId3"/>
    <sheet name="10.HK2-CHT10102" sheetId="4" state="visible" r:id="rId4"/>
    <sheet name="17.HK3-CHT10017-1A (HC)" sheetId="5" state="visible" r:id="rId5"/>
    <sheet name="30.HK3-CHT10011-A" sheetId="6" state="visible" r:id="rId6"/>
  </sheets>
  <definedNames/>
  <calcPr calcId="191029" fullCalcOnLoad="1"/>
</workbook>
</file>

<file path=xl/styles.xml><?xml version="1.0" encoding="utf-8"?>
<styleSheet xmlns="http://schemas.openxmlformats.org/spreadsheetml/2006/main">
  <numFmts count="4">
    <numFmt numFmtId="164" formatCode="_(* #,##0_);_(* \(#,##0\);_(* &quot;-&quot;??_);_(@_)"/>
    <numFmt numFmtId="165" formatCode="_-* #,##0_-;\-* #,##0_-;_-* &quot;-&quot;??_-;_-@_-"/>
    <numFmt numFmtId="166" formatCode="yyyy\-mm\-dd;@"/>
    <numFmt numFmtId="167" formatCode="##,##0"/>
  </numFmts>
  <fonts count="86">
    <font>
      <name val="Calibri"/>
      <charset val="163"/>
      <family val="2"/>
      <color theme="1"/>
      <sz val="11"/>
      <scheme val="minor"/>
    </font>
    <font>
      <name val="Calibri"/>
      <family val="2"/>
      <color theme="1"/>
      <sz val="11"/>
      <scheme val="minor"/>
    </font>
    <font>
      <name val="Calibri"/>
      <charset val="163"/>
      <family val="2"/>
      <color theme="1"/>
      <sz val="11"/>
      <scheme val="minor"/>
    </font>
    <font>
      <name val="Times New Roman"/>
      <family val="1"/>
      <b val="1"/>
      <color theme="1"/>
      <sz val="12"/>
    </font>
    <font>
      <name val="Times New Roman"/>
      <family val="1"/>
      <color rgb="FF000000"/>
      <sz val="12"/>
    </font>
    <font>
      <name val="Times New Roman"/>
      <family val="1"/>
      <color rgb="FFFF0000"/>
      <sz val="12"/>
    </font>
    <font>
      <name val="Times New Roman"/>
      <family val="1"/>
      <color theme="1"/>
      <sz val="12"/>
    </font>
    <font>
      <name val="Times New Roman"/>
      <family val="1"/>
      <sz val="12"/>
    </font>
    <font>
      <name val="Times New Roman"/>
      <family val="1"/>
      <i val="1"/>
      <sz val="12"/>
    </font>
    <font>
      <name val="Times New Roman"/>
      <family val="1"/>
      <color theme="1"/>
      <sz val="11"/>
    </font>
    <font>
      <name val="Times New Roman"/>
      <family val="1"/>
      <sz val="11"/>
    </font>
    <font>
      <name val="Times New Roman"/>
      <family val="1"/>
      <b val="1"/>
      <color theme="1"/>
      <sz val="11"/>
    </font>
    <font>
      <name val="Calibri"/>
      <family val="2"/>
      <color indexed="8"/>
      <sz val="11"/>
    </font>
    <font>
      <name val="Times New Roman"/>
      <family val="1"/>
      <b val="1"/>
      <color indexed="8"/>
      <sz val="10"/>
    </font>
    <font>
      <name val="Times New Roman"/>
      <family val="1"/>
      <b val="1"/>
      <color indexed="8"/>
      <sz val="13"/>
    </font>
    <font>
      <name val="Times New Roman"/>
      <family val="1"/>
      <b val="1"/>
      <color indexed="8"/>
      <sz val="11"/>
    </font>
    <font>
      <name val="Times New Roman"/>
      <family val="1"/>
      <color indexed="8"/>
      <sz val="12"/>
    </font>
    <font>
      <name val="Times New Roman"/>
      <family val="1"/>
      <b val="1"/>
      <color indexed="8"/>
      <sz val="12"/>
    </font>
    <font>
      <name val="Times New Roman"/>
      <family val="1"/>
      <b val="1"/>
      <color indexed="8"/>
      <sz val="16"/>
    </font>
    <font>
      <name val="Times New Roman"/>
      <family val="1"/>
      <color indexed="8"/>
      <sz val="14"/>
    </font>
    <font>
      <name val="Times New Roman"/>
      <family val="1"/>
      <color theme="1"/>
      <sz val="14"/>
    </font>
    <font>
      <name val="Times New Roman"/>
      <family val="1"/>
      <sz val="14"/>
    </font>
    <font>
      <name val="Times New Roman"/>
      <family val="1"/>
      <b val="1"/>
      <color indexed="8"/>
      <sz val="14"/>
    </font>
    <font>
      <name val="Times New Roman"/>
      <family val="1"/>
      <b val="1"/>
      <color rgb="FFFF0000"/>
      <sz val="14"/>
    </font>
    <font>
      <name val="Calibri"/>
      <family val="2"/>
      <color theme="1"/>
      <sz val="11"/>
      <scheme val="minor"/>
    </font>
    <font>
      <name val="Arial"/>
      <family val="2"/>
      <sz val="10"/>
    </font>
    <font>
      <name val="Times New Roman"/>
      <family val="1"/>
      <color rgb="FFFF0000"/>
      <sz val="14"/>
    </font>
    <font>
      <name val="Calibri"/>
      <family val="2"/>
      <color rgb="FFFF0000"/>
      <sz val="11"/>
      <scheme val="minor"/>
    </font>
    <font>
      <name val="Arial"/>
      <family val="2"/>
      <color indexed="8"/>
      <sz val="10"/>
    </font>
    <font>
      <name val="Times New Roman"/>
      <family val="1"/>
      <b val="1"/>
      <sz val="11"/>
    </font>
    <font>
      <name val="Times New Roman"/>
      <family val="1"/>
      <color indexed="8"/>
      <sz val="11"/>
    </font>
    <font>
      <name val="Times New Roman"/>
      <family val="1"/>
      <sz val="10"/>
    </font>
    <font>
      <name val="Calibri"/>
      <family val="2"/>
      <color theme="1"/>
      <sz val="12"/>
      <scheme val="minor"/>
    </font>
    <font>
      <name val="Times New Roman"/>
      <family val="1"/>
      <b val="1"/>
      <color rgb="FFFF0000"/>
      <sz val="12"/>
    </font>
    <font>
      <name val="Times New Roman"/>
      <family val="1"/>
      <color indexed="8"/>
      <sz val="10"/>
    </font>
    <font>
      <name val="Times New Roman"/>
      <family val="1"/>
      <color rgb="FF0000FF"/>
      <sz val="12"/>
    </font>
    <font>
      <name val="MS Sans Serif"/>
      <family val="2"/>
      <sz val="10"/>
    </font>
    <font>
      <name val="Calibri"/>
      <family val="2"/>
      <sz val="11"/>
    </font>
    <font>
      <name val="Times New Roman"/>
      <family val="1"/>
      <color rgb="FF000000"/>
      <sz val="11"/>
    </font>
    <font>
      <name val="Times New Roman"/>
      <charset val="163"/>
      <family val="1"/>
      <b val="1"/>
      <color indexed="8"/>
      <sz val="12"/>
    </font>
    <font>
      <name val="Times New Roman"/>
      <charset val="163"/>
      <family val="1"/>
      <b val="1"/>
      <sz val="12"/>
    </font>
    <font>
      <name val="Times New Roman"/>
      <charset val="163"/>
      <family val="1"/>
      <color theme="1"/>
      <sz val="12"/>
    </font>
    <font>
      <name val="Times New Roman"/>
      <charset val="163"/>
      <family val="1"/>
      <sz val="12"/>
    </font>
    <font>
      <name val="Times New Roman"/>
      <charset val="163"/>
      <family val="1"/>
      <color indexed="8"/>
      <sz val="12"/>
    </font>
    <font>
      <name val="Calibri"/>
      <family val="2"/>
      <sz val="12"/>
    </font>
    <font>
      <name val="Times New Roman"/>
      <charset val="163"/>
      <family val="1"/>
      <color rgb="FF000000"/>
      <sz val="12"/>
    </font>
    <font>
      <name val="Times New Roman"/>
      <family val="1"/>
      <b val="1"/>
      <sz val="12"/>
    </font>
    <font>
      <name val="Calibri"/>
      <charset val="163"/>
      <family val="2"/>
      <color theme="1"/>
      <sz val="12"/>
      <scheme val="minor"/>
    </font>
    <font>
      <name val="Times New Roman"/>
      <family val="1"/>
      <color theme="1"/>
      <sz val="13"/>
    </font>
    <font>
      <name val="Calibri"/>
      <family val="2"/>
      <color theme="1"/>
      <sz val="11"/>
      <scheme val="minor"/>
    </font>
    <font>
      <name val="Times New Roman"/>
      <family val="1"/>
      <color theme="1"/>
      <sz val="10"/>
    </font>
    <font>
      <name val="Times New Roman"/>
      <family val="1"/>
      <color rgb="FF000000"/>
      <sz val="10"/>
    </font>
    <font>
      <name val="Times New Roman"/>
      <family val="1"/>
      <b val="1"/>
      <color rgb="FF000000"/>
      <sz val="11"/>
    </font>
    <font>
      <name val="Times New Roman"/>
      <family val="1"/>
      <b val="1"/>
      <color rgb="FF000000"/>
      <sz val="12"/>
    </font>
    <font>
      <name val="Times New Roman"/>
      <family val="1"/>
      <color rgb="FF000000"/>
      <sz val="8"/>
    </font>
    <font>
      <name val="Times New Roman"/>
      <family val="1"/>
      <sz val="8"/>
    </font>
    <font>
      <name val="Times New Roman"/>
      <family val="1"/>
      <color rgb="FFFF0000"/>
      <sz val="11"/>
    </font>
    <font>
      <name val="Aptos Narrow"/>
      <family val="2"/>
      <color theme="1"/>
      <sz val="11"/>
    </font>
    <font>
      <name val="Times New Roman"/>
      <charset val="163"/>
      <family val="1"/>
      <color rgb="FFFF0000"/>
      <sz val="12"/>
    </font>
    <font>
      <name val="Calibri"/>
      <charset val="163"/>
      <family val="2"/>
      <color theme="10"/>
      <sz val="11"/>
      <u val="single"/>
      <scheme val="minor"/>
    </font>
    <font>
      <name val="Times New Roman"/>
      <family val="1"/>
      <color rgb="FFFF0000"/>
      <sz val="10"/>
    </font>
    <font>
      <name val="Times New Roman"/>
      <charset val="163"/>
      <family val="1"/>
      <color theme="1"/>
      <sz val="14"/>
    </font>
    <font>
      <name val="Times New Roman"/>
      <charset val="163"/>
      <family val="1"/>
      <color indexed="8"/>
      <sz val="11"/>
    </font>
    <font>
      <name val="Arial"/>
      <family val="2"/>
      <color theme="1"/>
      <sz val="11"/>
    </font>
    <font>
      <name val="Times New Roman"/>
      <family val="1"/>
      <sz val="12"/>
      <vertAlign val="superscript"/>
    </font>
    <font>
      <name val="Times New Roman"/>
      <family val="1"/>
      <color rgb="FF1F2229"/>
      <sz val="12"/>
    </font>
    <font>
      <name val="Times New Roman"/>
      <family val="1"/>
      <color theme="1"/>
      <sz val="12"/>
      <vertAlign val="subscript"/>
    </font>
    <font>
      <name val="Times New Roman"/>
      <family val="1"/>
      <color rgb="FF0A0A0A"/>
      <sz val="11"/>
    </font>
    <font>
      <name val="Times New Roman"/>
      <family val="1"/>
      <sz val="11"/>
      <vertAlign val="subscript"/>
    </font>
    <font>
      <name val="Times New Roman"/>
      <family val="1"/>
      <b val="1"/>
      <color rgb="FF0000FF"/>
      <sz val="14"/>
    </font>
    <font>
      <name val="Times New Roman"/>
      <family val="1"/>
      <b val="1"/>
      <color rgb="FF7030A0"/>
      <sz val="11"/>
    </font>
    <font>
      <name val="Times New Roman"/>
      <family val="1"/>
      <color rgb="FF7030A0"/>
      <sz val="12"/>
    </font>
    <font>
      <name val="Times New Roman"/>
      <family val="1"/>
      <b val="1"/>
      <color theme="5" tint="-0.249977111117893"/>
      <sz val="11"/>
    </font>
    <font>
      <name val="Times New Roman"/>
      <family val="1"/>
      <color theme="5" tint="-0.249977111117893"/>
      <sz val="12"/>
    </font>
    <font>
      <name val="Times New Roman"/>
      <family val="1"/>
      <b val="1"/>
      <color rgb="FF0000FF"/>
      <sz val="11"/>
    </font>
    <font>
      <name val="Calibri"/>
      <family val="2"/>
      <b val="1"/>
      <color theme="1"/>
      <sz val="11"/>
      <scheme val="minor"/>
    </font>
    <font>
      <name val="Times New Roman"/>
      <family val="1"/>
      <b val="1"/>
      <color rgb="FFFF0000"/>
      <sz val="10"/>
    </font>
    <font>
      <name val="Calibri"/>
      <charset val="163"/>
      <family val="2"/>
      <color rgb="FFFF0000"/>
      <sz val="11"/>
      <scheme val="minor"/>
    </font>
    <font>
      <name val="Times New Roman"/>
      <charset val="1"/>
      <family val="1"/>
      <sz val="12"/>
    </font>
    <font>
      <name val="Times New Roman"/>
      <charset val="1"/>
      <family val="1"/>
      <color rgb="FFFF0000"/>
      <sz val="12"/>
    </font>
    <font>
      <name val="Calibri"/>
      <charset val="163"/>
      <family val="2"/>
      <color theme="10"/>
      <sz val="12"/>
      <u val="single"/>
      <scheme val="minor"/>
    </font>
    <font>
      <name val="Times New Roman"/>
      <b val="1"/>
      <sz val="14"/>
    </font>
    <font>
      <name val="Times New Roman"/>
      <i val="1"/>
      <sz val="10"/>
    </font>
    <font>
      <name val="Times New Roman"/>
      <b val="1"/>
      <sz val="11"/>
    </font>
    <font>
      <name val="Times New Roman"/>
      <sz val="11"/>
    </font>
    <font>
      <name val="Times New Roman"/>
      <i val="1"/>
    </font>
  </fonts>
  <fills count="12">
    <fill>
      <patternFill/>
    </fill>
    <fill>
      <patternFill patternType="gray125"/>
    </fill>
    <fill>
      <patternFill patternType="solid">
        <fgColor theme="8" tint="0.7999816888943144"/>
        <bgColor indexed="64"/>
      </patternFill>
    </fill>
    <fill>
      <patternFill patternType="solid">
        <fgColor theme="5" tint="0.7999816888943144"/>
        <bgColor indexed="64"/>
      </patternFill>
    </fill>
    <fill>
      <patternFill patternType="solid">
        <fgColor theme="7" tint="0.7999816888943144"/>
        <bgColor indexed="64"/>
      </patternFill>
    </fill>
    <fill>
      <patternFill patternType="solid">
        <fgColor rgb="FFFFFF00"/>
        <bgColor indexed="64"/>
      </patternFill>
    </fill>
    <fill>
      <patternFill patternType="solid">
        <fgColor theme="0"/>
        <bgColor indexed="64"/>
      </patternFill>
    </fill>
    <fill>
      <patternFill patternType="solid">
        <fgColor rgb="FFFFFF00"/>
        <bgColor rgb="FFFFFF00"/>
      </patternFill>
    </fill>
    <fill>
      <patternFill patternType="solid">
        <fgColor rgb="FFFFFFFF"/>
        <bgColor indexed="64"/>
      </patternFill>
    </fill>
    <fill>
      <patternFill patternType="solid">
        <fgColor rgb="FFFFC000"/>
        <bgColor indexed="64"/>
      </patternFill>
    </fill>
    <fill>
      <patternFill patternType="solid">
        <fgColor rgb="00D9E1F2"/>
      </patternFill>
    </fill>
    <fill>
      <patternFill patternType="solid">
        <fgColor rgb="00FFF2CC"/>
      </patternFill>
    </fill>
  </fills>
  <borders count="31">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right/>
      <top/>
      <bottom style="thin">
        <color indexed="64"/>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top/>
      <bottom/>
      <diagonal/>
    </border>
    <border>
      <left style="thin">
        <color indexed="64"/>
      </left>
      <right style="thin">
        <color indexed="64"/>
      </right>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top style="thin">
        <color indexed="64"/>
      </top>
      <bottom/>
      <diagonal/>
    </border>
    <border>
      <left/>
      <right style="thin">
        <color indexed="64"/>
      </right>
      <top style="thin">
        <color indexed="64"/>
      </top>
      <bottom/>
      <diagonal/>
    </border>
    <border>
      <left/>
      <right style="thin">
        <color rgb="FF000000"/>
      </right>
      <top/>
      <bottom/>
      <diagonal/>
    </border>
    <border>
      <left/>
      <right style="thin">
        <color indexed="64"/>
      </right>
      <top/>
      <bottom/>
      <diagonal/>
    </border>
    <border>
      <left style="thin"/>
      <right style="thin"/>
      <top style="thin"/>
      <bottom style="thin"/>
    </border>
  </borders>
  <cellStyleXfs count="46">
    <xf numFmtId="0" fontId="2" fillId="0" borderId="0"/>
    <xf numFmtId="43" fontId="2" fillId="0" borderId="0"/>
    <xf numFmtId="0" fontId="12" fillId="0" borderId="0"/>
    <xf numFmtId="0" fontId="49" fillId="0" borderId="0"/>
    <xf numFmtId="0" fontId="49" fillId="0" borderId="0"/>
    <xf numFmtId="43" fontId="12" fillId="0" borderId="0"/>
    <xf numFmtId="43" fontId="25" fillId="0" borderId="0"/>
    <xf numFmtId="43" fontId="49" fillId="0" borderId="0"/>
    <xf numFmtId="43" fontId="12" fillId="0" borderId="0"/>
    <xf numFmtId="0" fontId="49" fillId="0" borderId="0"/>
    <xf numFmtId="0" fontId="49" fillId="0" borderId="0"/>
    <xf numFmtId="0" fontId="28" fillId="0" borderId="0" applyAlignment="1">
      <alignment vertical="top"/>
    </xf>
    <xf numFmtId="43" fontId="25" fillId="0" borderId="0"/>
    <xf numFmtId="0" fontId="49" fillId="0" borderId="0"/>
    <xf numFmtId="0" fontId="49" fillId="0" borderId="0"/>
    <xf numFmtId="0" fontId="12" fillId="0" borderId="0"/>
    <xf numFmtId="0" fontId="32" fillId="0" borderId="0"/>
    <xf numFmtId="0" fontId="2" fillId="0" borderId="0"/>
    <xf numFmtId="43" fontId="2" fillId="0" borderId="0"/>
    <xf numFmtId="0" fontId="49" fillId="0" borderId="0"/>
    <xf numFmtId="0" fontId="36" fillId="0" borderId="0"/>
    <xf numFmtId="43" fontId="12" fillId="0" borderId="0"/>
    <xf numFmtId="0" fontId="49" fillId="0" borderId="0"/>
    <xf numFmtId="0" fontId="49" fillId="0" borderId="0"/>
    <xf numFmtId="43" fontId="49" fillId="0" borderId="0"/>
    <xf numFmtId="0" fontId="49" fillId="0" borderId="0"/>
    <xf numFmtId="43" fontId="49" fillId="0" borderId="0"/>
    <xf numFmtId="43" fontId="49" fillId="0" borderId="0"/>
    <xf numFmtId="0" fontId="49" fillId="0" borderId="0"/>
    <xf numFmtId="43" fontId="49" fillId="0" borderId="0"/>
    <xf numFmtId="0" fontId="49" fillId="0" borderId="0"/>
    <xf numFmtId="0" fontId="49" fillId="0" borderId="0"/>
    <xf numFmtId="0" fontId="49" fillId="0" borderId="0"/>
    <xf numFmtId="0" fontId="12" fillId="0" borderId="0"/>
    <xf numFmtId="0" fontId="2" fillId="0" borderId="0"/>
    <xf numFmtId="0" fontId="49" fillId="0" borderId="0"/>
    <xf numFmtId="0" fontId="2" fillId="0" borderId="0"/>
    <xf numFmtId="0" fontId="59" fillId="0" borderId="0"/>
    <xf numFmtId="0" fontId="49" fillId="0" borderId="0"/>
    <xf numFmtId="0" fontId="63" fillId="0" borderId="0"/>
    <xf numFmtId="0" fontId="31" fillId="0" borderId="0"/>
    <xf numFmtId="0" fontId="2" fillId="0" borderId="0"/>
    <xf numFmtId="0" fontId="12" fillId="0" borderId="0"/>
    <xf numFmtId="0" fontId="49" fillId="0" borderId="0"/>
    <xf numFmtId="0" fontId="49" fillId="0" borderId="0"/>
    <xf numFmtId="43" fontId="49" fillId="0" borderId="0"/>
  </cellStyleXfs>
  <cellXfs count="654">
    <xf numFmtId="0" fontId="0" fillId="0" borderId="0" pivotButton="0" quotePrefix="0" xfId="0"/>
    <xf numFmtId="0" fontId="3" fillId="0" borderId="1" applyAlignment="1" pivotButton="0" quotePrefix="0" xfId="0">
      <alignment vertical="center"/>
    </xf>
    <xf numFmtId="0" fontId="3" fillId="0" borderId="1" applyAlignment="1" pivotButton="0" quotePrefix="0" xfId="0">
      <alignment horizontal="center" vertical="center"/>
    </xf>
    <xf numFmtId="0" fontId="3" fillId="0" borderId="1" applyAlignment="1" pivotButton="0" quotePrefix="0" xfId="0">
      <alignment horizontal="center" vertical="center" wrapText="1"/>
    </xf>
    <xf numFmtId="0" fontId="5" fillId="0" borderId="0" pivotButton="0" quotePrefix="0" xfId="0"/>
    <xf numFmtId="0" fontId="7" fillId="2" borderId="1" applyAlignment="1" pivotButton="0" quotePrefix="0" xfId="0">
      <alignment horizontal="center" vertical="center" wrapText="1"/>
    </xf>
    <xf numFmtId="0" fontId="7" fillId="2" borderId="1" applyAlignment="1" pivotButton="0" quotePrefix="0" xfId="0">
      <alignment horizontal="justify" vertical="center" wrapText="1"/>
    </xf>
    <xf numFmtId="164" fontId="7" fillId="2" borderId="1" applyAlignment="1" pivotButton="0" quotePrefix="0" xfId="1">
      <alignment horizontal="center" vertical="center"/>
    </xf>
    <xf numFmtId="0" fontId="7" fillId="3" borderId="1" applyAlignment="1" pivotButton="0" quotePrefix="0" xfId="0">
      <alignment horizontal="center" vertical="center" wrapText="1"/>
    </xf>
    <xf numFmtId="0" fontId="7" fillId="3" borderId="1" applyAlignment="1" pivotButton="0" quotePrefix="0" xfId="0">
      <alignment horizontal="justify" vertical="center" wrapText="1"/>
    </xf>
    <xf numFmtId="164" fontId="7" fillId="3" borderId="1" applyAlignment="1" pivotButton="0" quotePrefix="0" xfId="1">
      <alignment horizontal="center" vertical="center"/>
    </xf>
    <xf numFmtId="0" fontId="8" fillId="3" borderId="1" applyAlignment="1" pivotButton="0" quotePrefix="0" xfId="0">
      <alignment horizontal="justify" vertical="center" wrapText="1"/>
    </xf>
    <xf numFmtId="0" fontId="8" fillId="3" borderId="1" applyAlignment="1" pivotButton="0" quotePrefix="0" xfId="0">
      <alignment horizontal="center" vertical="center" wrapText="1"/>
    </xf>
    <xf numFmtId="0" fontId="23" fillId="0" borderId="1" applyAlignment="1" pivotButton="0" quotePrefix="0" xfId="2">
      <alignment horizontal="center" vertical="center" wrapText="1"/>
    </xf>
    <xf numFmtId="0" fontId="14" fillId="0" borderId="0" applyAlignment="1" pivotButton="0" quotePrefix="0" xfId="0">
      <alignment vertical="center" wrapText="1"/>
    </xf>
    <xf numFmtId="0" fontId="16" fillId="0" borderId="0" applyAlignment="1" pivotButton="0" quotePrefix="0" xfId="0">
      <alignment vertical="top" wrapText="1"/>
    </xf>
    <xf numFmtId="0" fontId="16" fillId="0" borderId="0" pivotButton="0" quotePrefix="0" xfId="0"/>
    <xf numFmtId="0" fontId="17" fillId="0" borderId="0" applyAlignment="1" pivotButton="0" quotePrefix="0" xfId="0">
      <alignment vertical="center"/>
    </xf>
    <xf numFmtId="0" fontId="19" fillId="0" borderId="0" pivotButton="0" quotePrefix="0" xfId="0"/>
    <xf numFmtId="0" fontId="19" fillId="0" borderId="0" applyAlignment="1" pivotButton="0" quotePrefix="0" xfId="0">
      <alignment vertical="center"/>
    </xf>
    <xf numFmtId="0" fontId="19" fillId="0" borderId="0" applyAlignment="1" pivotButton="0" quotePrefix="0" xfId="0">
      <alignment horizontal="left" vertical="center"/>
    </xf>
    <xf numFmtId="0" fontId="20" fillId="0" borderId="0" pivotButton="0" quotePrefix="0" xfId="0"/>
    <xf numFmtId="0" fontId="21" fillId="0" borderId="0" applyAlignment="1" pivotButton="0" quotePrefix="0" xfId="0">
      <alignment vertical="center"/>
    </xf>
    <xf numFmtId="0" fontId="21" fillId="0" borderId="0" applyAlignment="1" pivotButton="0" quotePrefix="0" xfId="0">
      <alignment horizontal="left" vertical="center"/>
    </xf>
    <xf numFmtId="0" fontId="16" fillId="0" borderId="0" applyAlignment="1" pivotButton="0" quotePrefix="0" xfId="0">
      <alignment vertical="center"/>
    </xf>
    <xf numFmtId="0" fontId="17" fillId="0" borderId="0" applyAlignment="1" pivotButton="0" quotePrefix="0" xfId="0">
      <alignment horizontal="center" vertical="top" wrapText="1"/>
    </xf>
    <xf numFmtId="0" fontId="17" fillId="0" borderId="0" applyAlignment="1" pivotButton="0" quotePrefix="0" xfId="0">
      <alignment vertical="top" wrapText="1"/>
    </xf>
    <xf numFmtId="0" fontId="17" fillId="0" borderId="0" applyAlignment="1" pivotButton="0" quotePrefix="0" xfId="0">
      <alignment vertical="center" wrapText="1"/>
    </xf>
    <xf numFmtId="0" fontId="17" fillId="0" borderId="0" applyAlignment="1" pivotButton="0" quotePrefix="0" xfId="0">
      <alignment horizontal="center" vertical="center" wrapText="1"/>
    </xf>
    <xf numFmtId="3" fontId="0" fillId="0" borderId="0" pivotButton="0" quotePrefix="0" xfId="0"/>
    <xf numFmtId="0" fontId="27" fillId="0" borderId="0" pivotButton="0" quotePrefix="0" xfId="0"/>
    <xf numFmtId="3" fontId="16" fillId="0" borderId="0" pivotButton="0" quotePrefix="0" xfId="0"/>
    <xf numFmtId="3" fontId="19" fillId="0" borderId="0" pivotButton="0" quotePrefix="0" xfId="0"/>
    <xf numFmtId="0" fontId="26" fillId="0" borderId="0" applyAlignment="1" pivotButton="0" quotePrefix="0" xfId="0">
      <alignment horizontal="left" vertical="center"/>
    </xf>
    <xf numFmtId="0" fontId="22" fillId="0" borderId="1" applyAlignment="1" pivotButton="0" quotePrefix="0" xfId="0">
      <alignment horizontal="center" vertical="center" wrapText="1"/>
    </xf>
    <xf numFmtId="0" fontId="13" fillId="0" borderId="2" applyAlignment="1" pivotButton="0" quotePrefix="0" xfId="0">
      <alignment vertical="center" wrapText="1"/>
    </xf>
    <xf numFmtId="0" fontId="16" fillId="0" borderId="1" applyAlignment="1" pivotButton="0" quotePrefix="0" xfId="0">
      <alignment horizontal="center" vertical="center" wrapText="1"/>
    </xf>
    <xf numFmtId="0" fontId="16" fillId="0" borderId="1" pivotButton="0" quotePrefix="0" xfId="0"/>
    <xf numFmtId="0" fontId="10" fillId="0" borderId="0" applyAlignment="1" pivotButton="0" quotePrefix="0" xfId="0">
      <alignment vertical="center"/>
    </xf>
    <xf numFmtId="0" fontId="10" fillId="0" borderId="0" applyAlignment="1" pivotButton="0" quotePrefix="0" xfId="0">
      <alignment horizontal="left" vertical="center"/>
    </xf>
    <xf numFmtId="164" fontId="10" fillId="0" borderId="0" applyAlignment="1" pivotButton="0" quotePrefix="0" xfId="7">
      <alignment vertical="center"/>
    </xf>
    <xf numFmtId="164" fontId="10" fillId="0" borderId="0" applyAlignment="1" pivotButton="0" quotePrefix="0" xfId="7">
      <alignment horizontal="left" vertical="center"/>
    </xf>
    <xf numFmtId="0" fontId="6" fillId="4" borderId="1" applyAlignment="1" pivotButton="0" quotePrefix="0" xfId="0">
      <alignment horizontal="center" vertical="center" wrapText="1"/>
    </xf>
    <xf numFmtId="0" fontId="6" fillId="4" borderId="1" applyAlignment="1" pivotButton="0" quotePrefix="0" xfId="0">
      <alignment horizontal="justify" vertical="center" wrapText="1"/>
    </xf>
    <xf numFmtId="0" fontId="4" fillId="4" borderId="1" applyAlignment="1" pivotButton="0" quotePrefix="0" xfId="0">
      <alignment horizontal="center" vertical="center" wrapText="1"/>
    </xf>
    <xf numFmtId="0" fontId="4" fillId="4" borderId="1" applyAlignment="1" pivotButton="0" quotePrefix="0" xfId="0">
      <alignment vertical="center" wrapText="1"/>
    </xf>
    <xf numFmtId="0" fontId="22" fillId="5" borderId="1" applyAlignment="1" pivotButton="0" quotePrefix="0" xfId="0">
      <alignment horizontal="center" vertical="center" wrapText="1"/>
    </xf>
    <xf numFmtId="0" fontId="4" fillId="0" borderId="1" applyAlignment="1" pivotButton="0" quotePrefix="0" xfId="0">
      <alignment horizontal="center"/>
    </xf>
    <xf numFmtId="0" fontId="19" fillId="0" borderId="1" applyAlignment="1" pivotButton="0" quotePrefix="0" xfId="0">
      <alignment vertical="center" wrapText="1"/>
    </xf>
    <xf numFmtId="164" fontId="7" fillId="4" borderId="1" applyAlignment="1" pivotButton="0" quotePrefix="0" xfId="1">
      <alignment horizontal="center" vertical="center"/>
    </xf>
    <xf numFmtId="164" fontId="7" fillId="2" borderId="1" applyAlignment="1" pivotButton="0" quotePrefix="0" xfId="1">
      <alignment vertical="center"/>
    </xf>
    <xf numFmtId="164" fontId="7" fillId="3" borderId="1" applyAlignment="1" pivotButton="0" quotePrefix="0" xfId="1">
      <alignment vertical="center"/>
    </xf>
    <xf numFmtId="0" fontId="9" fillId="4" borderId="1" applyAlignment="1" pivotButton="0" quotePrefix="0" xfId="0">
      <alignment horizontal="center" vertical="center"/>
    </xf>
    <xf numFmtId="0" fontId="10" fillId="2" borderId="1" applyAlignment="1" pivotButton="0" quotePrefix="0" xfId="0">
      <alignment horizontal="center" vertical="center"/>
    </xf>
    <xf numFmtId="0" fontId="10" fillId="3" borderId="1" applyAlignment="1" pivotButton="0" quotePrefix="0" xfId="0">
      <alignment horizontal="center" vertical="center"/>
    </xf>
    <xf numFmtId="0" fontId="9" fillId="0" borderId="0" applyAlignment="1" pivotButton="0" quotePrefix="0" xfId="0">
      <alignment horizontal="center" vertical="center"/>
    </xf>
    <xf numFmtId="0" fontId="9" fillId="0" borderId="0" applyAlignment="1" pivotButton="0" quotePrefix="0" xfId="0">
      <alignment vertical="center"/>
    </xf>
    <xf numFmtId="3" fontId="6" fillId="4" borderId="1" applyAlignment="1" pivotButton="0" quotePrefix="0" xfId="0">
      <alignment horizontal="left" vertical="center"/>
    </xf>
    <xf numFmtId="0" fontId="6" fillId="4" borderId="1" applyAlignment="1" pivotButton="0" quotePrefix="0" xfId="0">
      <alignment horizontal="left" vertical="center"/>
    </xf>
    <xf numFmtId="0" fontId="7" fillId="4" borderId="1" applyAlignment="1" pivotButton="0" quotePrefix="0" xfId="0">
      <alignment vertical="center"/>
    </xf>
    <xf numFmtId="0" fontId="7" fillId="2" borderId="1" applyAlignment="1" pivotButton="0" quotePrefix="0" xfId="0">
      <alignment vertical="center" wrapText="1"/>
    </xf>
    <xf numFmtId="0" fontId="7" fillId="2" borderId="1" applyAlignment="1" pivotButton="0" quotePrefix="0" xfId="0">
      <alignment vertical="center"/>
    </xf>
    <xf numFmtId="0" fontId="7" fillId="3" borderId="1" applyAlignment="1" pivotButton="0" quotePrefix="0" xfId="0">
      <alignment vertical="center"/>
    </xf>
    <xf numFmtId="0" fontId="7" fillId="3" borderId="1" applyAlignment="1" pivotButton="0" quotePrefix="0" xfId="0">
      <alignment vertical="center" wrapText="1"/>
    </xf>
    <xf numFmtId="0" fontId="31" fillId="0" borderId="1" applyAlignment="1" pivotButton="0" quotePrefix="0" xfId="0">
      <alignment horizontal="left"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vertical="center" wrapText="1"/>
    </xf>
    <xf numFmtId="0" fontId="9" fillId="2" borderId="1" applyAlignment="1" pivotButton="0" quotePrefix="0" xfId="0">
      <alignment horizontal="center" vertical="center"/>
    </xf>
    <xf numFmtId="0" fontId="9" fillId="3" borderId="1" applyAlignment="1" pivotButton="0" quotePrefix="0" xfId="0">
      <alignment horizontal="center" vertical="center"/>
    </xf>
    <xf numFmtId="0" fontId="16" fillId="0" borderId="3" applyAlignment="1" pivotButton="0" quotePrefix="0" xfId="0">
      <alignment horizontal="center" vertical="center" wrapText="1"/>
    </xf>
    <xf numFmtId="0" fontId="34" fillId="0" borderId="1" applyAlignment="1" pivotButton="0" quotePrefix="0" xfId="0">
      <alignment horizontal="center" vertical="center" wrapText="1"/>
    </xf>
    <xf numFmtId="0" fontId="19" fillId="0" borderId="0" applyAlignment="1" pivotButton="0" quotePrefix="0" xfId="0">
      <alignment vertical="center" wrapText="1"/>
    </xf>
    <xf numFmtId="164" fontId="9" fillId="0" borderId="0" applyAlignment="1" pivotButton="0" quotePrefix="0" xfId="0">
      <alignment vertical="center"/>
    </xf>
    <xf numFmtId="0" fontId="7" fillId="0" borderId="1" applyAlignment="1" pivotButton="0" quotePrefix="0" xfId="0">
      <alignment horizontal="center" vertical="center" wrapText="1"/>
    </xf>
    <xf numFmtId="0" fontId="16" fillId="0" borderId="1" applyAlignment="1" pivotButton="0" quotePrefix="0" xfId="0">
      <alignment horizontal="center" vertical="center"/>
    </xf>
    <xf numFmtId="0" fontId="7" fillId="0" borderId="1" applyAlignment="1" pivotButton="0" quotePrefix="0" xfId="0">
      <alignment horizontal="left" vertical="center" wrapText="1"/>
    </xf>
    <xf numFmtId="0" fontId="7" fillId="0" borderId="1" applyAlignment="1" pivotButton="0" quotePrefix="0" xfId="4">
      <alignment horizontal="center" vertical="center" wrapText="1"/>
    </xf>
    <xf numFmtId="0" fontId="30" fillId="0" borderId="1" applyAlignment="1" pivotButton="0" quotePrefix="0" xfId="0">
      <alignment horizontal="center" vertical="center" wrapText="1"/>
    </xf>
    <xf numFmtId="0" fontId="7" fillId="0" borderId="1" applyAlignment="1" pivotButton="0" quotePrefix="0" xfId="0">
      <alignment horizontal="center" vertical="center"/>
    </xf>
    <xf numFmtId="0" fontId="10" fillId="0" borderId="1" applyAlignment="1" pivotButton="0" quotePrefix="0" xfId="0">
      <alignment horizontal="center" vertical="center" wrapText="1"/>
    </xf>
    <xf numFmtId="0" fontId="19" fillId="0" borderId="0" applyAlignment="1" pivotButton="0" quotePrefix="0" xfId="2">
      <alignment horizontal="left" vertical="center" wrapText="1"/>
    </xf>
    <xf numFmtId="0" fontId="16" fillId="0" borderId="1" applyAlignment="1" pivotButton="0" quotePrefix="0" xfId="2">
      <alignment vertical="center" wrapText="1"/>
    </xf>
    <xf numFmtId="0" fontId="6" fillId="0" borderId="1" applyAlignment="1" pivotButton="0" quotePrefix="0" xfId="2">
      <alignment horizontal="center" vertical="center" wrapText="1"/>
    </xf>
    <xf numFmtId="0" fontId="19" fillId="5" borderId="0" applyAlignment="1" pivotButton="0" quotePrefix="0" xfId="0">
      <alignment vertical="center"/>
    </xf>
    <xf numFmtId="0" fontId="23" fillId="5" borderId="0" applyAlignment="1" pivotButton="0" quotePrefix="0" xfId="0">
      <alignment vertical="center"/>
    </xf>
    <xf numFmtId="0" fontId="35" fillId="0" borderId="0" applyAlignment="1" pivotButton="0" quotePrefix="0" xfId="0">
      <alignment vertical="center"/>
    </xf>
    <xf numFmtId="0" fontId="35" fillId="0" borderId="0" applyAlignment="1" pivotButton="0" quotePrefix="0" xfId="0">
      <alignment horizontal="left" vertical="center"/>
    </xf>
    <xf numFmtId="0" fontId="16" fillId="0" borderId="1" applyAlignment="1" pivotButton="0" quotePrefix="0" xfId="0">
      <alignment vertical="center"/>
    </xf>
    <xf numFmtId="0" fontId="6" fillId="0" borderId="0" pivotButton="0" quotePrefix="0" xfId="0"/>
    <xf numFmtId="0" fontId="5" fillId="0" borderId="0" applyAlignment="1" pivotButton="0" quotePrefix="0" xfId="0">
      <alignment vertical="center"/>
    </xf>
    <xf numFmtId="0" fontId="0" fillId="0" borderId="0" applyAlignment="1" pivotButton="0" quotePrefix="0" xfId="0">
      <alignment vertical="center"/>
    </xf>
    <xf numFmtId="0" fontId="14" fillId="0" borderId="0" applyAlignment="1" pivotButton="0" quotePrefix="0" xfId="0">
      <alignment horizontal="center" vertical="center" wrapText="1"/>
    </xf>
    <xf numFmtId="0" fontId="16" fillId="0" borderId="0" applyAlignment="1" pivotButton="0" quotePrefix="0" xfId="0">
      <alignment horizontal="center" vertical="center"/>
    </xf>
    <xf numFmtId="0" fontId="16" fillId="0" borderId="0" applyAlignment="1" pivotButton="0" quotePrefix="0" xfId="0">
      <alignment horizontal="center"/>
    </xf>
    <xf numFmtId="0" fontId="15" fillId="0" borderId="1" applyAlignment="1" pivotButton="0" quotePrefix="0" xfId="0">
      <alignment horizontal="center" vertical="center" wrapText="1"/>
    </xf>
    <xf numFmtId="0" fontId="17" fillId="0" borderId="1" applyAlignment="1" pivotButton="0" quotePrefix="0" xfId="0">
      <alignment horizontal="center" vertical="center" wrapText="1"/>
    </xf>
    <xf numFmtId="0" fontId="0" fillId="0" borderId="9" pivotButton="0" quotePrefix="0" xfId="0"/>
    <xf numFmtId="0" fontId="0" fillId="0" borderId="10" pivotButton="0" quotePrefix="0" xfId="0"/>
    <xf numFmtId="0" fontId="16" fillId="0" borderId="0" applyAlignment="1" pivotButton="0" quotePrefix="0" xfId="0">
      <alignment horizontal="left" vertical="center"/>
    </xf>
    <xf numFmtId="0" fontId="16" fillId="5" borderId="0" pivotButton="0" quotePrefix="0" xfId="0"/>
    <xf numFmtId="0" fontId="16" fillId="5" borderId="0" applyAlignment="1" pivotButton="0" quotePrefix="0" xfId="0">
      <alignment vertical="center"/>
    </xf>
    <xf numFmtId="0" fontId="10" fillId="0" borderId="1" applyAlignment="1" pivotButton="0" quotePrefix="0" xfId="0">
      <alignment horizontal="left" vertical="center" wrapText="1"/>
    </xf>
    <xf numFmtId="164" fontId="10" fillId="0" borderId="1" applyAlignment="1" pivotButton="0" quotePrefix="0" xfId="3">
      <alignment horizontal="center" vertical="center" wrapText="1"/>
    </xf>
    <xf numFmtId="0" fontId="10" fillId="0" borderId="1" applyAlignment="1" pivotButton="0" quotePrefix="0" xfId="2">
      <alignment horizontal="center" vertical="center" wrapText="1"/>
    </xf>
    <xf numFmtId="0" fontId="10" fillId="0" borderId="1" applyAlignment="1" pivotButton="0" quotePrefix="0" xfId="17">
      <alignment horizontal="center" vertical="center" wrapText="1"/>
    </xf>
    <xf numFmtId="165" fontId="4" fillId="0" borderId="1" applyAlignment="1" applyProtection="1" pivotButton="0" quotePrefix="0" xfId="1">
      <alignment vertical="center" wrapText="1"/>
      <protection locked="0" hidden="0"/>
    </xf>
    <xf numFmtId="165" fontId="4" fillId="0" borderId="1" applyAlignment="1" pivotButton="0" quotePrefix="0" xfId="1">
      <alignment vertical="center" wrapText="1"/>
    </xf>
    <xf numFmtId="164" fontId="17" fillId="0" borderId="1" applyAlignment="1" pivotButton="0" quotePrefix="0" xfId="0">
      <alignment horizontal="center" vertical="center"/>
    </xf>
    <xf numFmtId="0" fontId="16" fillId="0" borderId="0" applyAlignment="1" pivotButton="0" quotePrefix="1" xfId="0">
      <alignment vertical="center"/>
    </xf>
    <xf numFmtId="0" fontId="10" fillId="0" borderId="1" applyAlignment="1" pivotButton="0" quotePrefix="0" xfId="15">
      <alignment horizontal="center" vertical="center" wrapText="1"/>
    </xf>
    <xf numFmtId="0" fontId="23" fillId="0" borderId="0" applyAlignment="1" pivotButton="0" quotePrefix="0" xfId="0">
      <alignment vertical="center"/>
    </xf>
    <xf numFmtId="3" fontId="10" fillId="0" borderId="1" applyAlignment="1" pivotButton="0" quotePrefix="0" xfId="0">
      <alignment vertical="center" wrapText="1"/>
    </xf>
    <xf numFmtId="49" fontId="10" fillId="0" borderId="1" applyAlignment="1" pivotButton="0" quotePrefix="0" xfId="15">
      <alignment horizontal="center" vertical="center" wrapText="1"/>
    </xf>
    <xf numFmtId="0" fontId="10" fillId="0" borderId="1" applyAlignment="1" pivotButton="0" quotePrefix="0" xfId="22">
      <alignment horizontal="center" vertical="center" wrapText="1"/>
    </xf>
    <xf numFmtId="0" fontId="0" fillId="0" borderId="0" applyAlignment="1" pivotButton="0" quotePrefix="0" xfId="0">
      <alignment horizontal="center"/>
    </xf>
    <xf numFmtId="0" fontId="5" fillId="0" borderId="0" applyAlignment="1" pivotButton="0" quotePrefix="0" xfId="0">
      <alignment horizontal="center"/>
    </xf>
    <xf numFmtId="0" fontId="27" fillId="0" borderId="0" applyAlignment="1" pivotButton="0" quotePrefix="0" xfId="0">
      <alignment horizontal="center"/>
    </xf>
    <xf numFmtId="0" fontId="10" fillId="0" borderId="1" applyAlignment="1" pivotButton="0" quotePrefix="0" xfId="22">
      <alignment horizontal="left" vertical="center" wrapText="1"/>
    </xf>
    <xf numFmtId="164" fontId="10" fillId="0" borderId="1" applyAlignment="1" pivotButton="0" quotePrefix="0" xfId="0">
      <alignment horizontal="center" vertical="center" wrapText="1"/>
    </xf>
    <xf numFmtId="3" fontId="10" fillId="0" borderId="1" applyAlignment="1" pivotButton="0" quotePrefix="0" xfId="0">
      <alignment horizontal="center" vertical="center" wrapText="1"/>
    </xf>
    <xf numFmtId="0" fontId="10" fillId="6" borderId="1" applyAlignment="1" pivotButton="0" quotePrefix="0" xfId="0">
      <alignment horizontal="center" vertical="center" wrapText="1"/>
    </xf>
    <xf numFmtId="0" fontId="10" fillId="6" borderId="1" applyAlignment="1" pivotButton="0" quotePrefix="0" xfId="0">
      <alignment horizontal="left" vertical="center" wrapText="1"/>
    </xf>
    <xf numFmtId="164" fontId="17" fillId="0" borderId="1" applyAlignment="1" pivotButton="0" quotePrefix="0" xfId="0">
      <alignment vertical="center"/>
    </xf>
    <xf numFmtId="0" fontId="10" fillId="0" borderId="1" applyAlignment="1" pivotButton="0" quotePrefix="0" xfId="23">
      <alignment horizontal="center" vertical="center" wrapText="1"/>
    </xf>
    <xf numFmtId="0" fontId="29" fillId="0" borderId="1" applyAlignment="1" pivotButton="0" quotePrefix="0" xfId="3">
      <alignment horizontal="center" vertical="center" wrapText="1"/>
    </xf>
    <xf numFmtId="0" fontId="9" fillId="0" borderId="1" applyAlignment="1" pivotButton="0" quotePrefix="0" xfId="0">
      <alignment horizontal="center" vertical="center" wrapText="1"/>
    </xf>
    <xf numFmtId="0" fontId="30" fillId="0" borderId="1" applyAlignment="1" pivotButton="0" quotePrefix="0" xfId="2">
      <alignment vertical="center" wrapText="1"/>
    </xf>
    <xf numFmtId="0" fontId="38" fillId="0" borderId="1" applyAlignment="1" pivotButton="0" quotePrefix="0" xfId="0">
      <alignment vertical="center" wrapText="1"/>
    </xf>
    <xf numFmtId="0" fontId="9" fillId="0" borderId="1" applyAlignment="1" pivotButton="0" quotePrefix="0" xfId="2">
      <alignment horizontal="center" vertical="center" wrapText="1"/>
    </xf>
    <xf numFmtId="0" fontId="39" fillId="0" borderId="1" applyAlignment="1" pivotButton="0" quotePrefix="0" xfId="0">
      <alignment horizontal="center" vertical="center" wrapText="1"/>
    </xf>
    <xf numFmtId="0" fontId="40" fillId="0" borderId="1" applyAlignment="1" pivotButton="0" quotePrefix="0" xfId="3">
      <alignment horizontal="center" vertical="center" wrapText="1"/>
    </xf>
    <xf numFmtId="0" fontId="41" fillId="0" borderId="1" applyAlignment="1" pivotButton="0" quotePrefix="0" xfId="0">
      <alignment horizontal="center" vertical="center" wrapText="1"/>
    </xf>
    <xf numFmtId="0" fontId="42" fillId="0" borderId="1" applyAlignment="1" pivotButton="0" quotePrefix="0" xfId="0">
      <alignment horizontal="center" vertical="center" wrapText="1"/>
    </xf>
    <xf numFmtId="0" fontId="43" fillId="0" borderId="1" applyAlignment="1" pivotButton="0" quotePrefix="0" xfId="2">
      <alignment vertical="center" wrapText="1"/>
    </xf>
    <xf numFmtId="0" fontId="42" fillId="0" borderId="1" applyAlignment="1" pivotButton="0" quotePrefix="0" xfId="2">
      <alignment horizontal="center" vertical="center" wrapText="1"/>
    </xf>
    <xf numFmtId="164" fontId="39" fillId="0" borderId="1" applyAlignment="1" pivotButton="0" quotePrefix="0" xfId="0">
      <alignment horizontal="center" vertical="center"/>
    </xf>
    <xf numFmtId="0" fontId="43" fillId="0" borderId="1" applyAlignment="1" pivotButton="0" quotePrefix="0" xfId="0">
      <alignment vertical="center"/>
    </xf>
    <xf numFmtId="0" fontId="43" fillId="0" borderId="0" applyAlignment="1" pivotButton="0" quotePrefix="0" xfId="0">
      <alignment vertical="center"/>
    </xf>
    <xf numFmtId="0" fontId="43" fillId="0" borderId="1" applyAlignment="1" pivotButton="0" quotePrefix="0" xfId="0">
      <alignment horizontal="center" vertical="center" wrapText="1"/>
    </xf>
    <xf numFmtId="164" fontId="42" fillId="0" borderId="1" applyAlignment="1" pivotButton="0" quotePrefix="0" xfId="0">
      <alignment horizontal="center" vertical="center" wrapText="1"/>
    </xf>
    <xf numFmtId="0" fontId="46" fillId="0" borderId="1" applyAlignment="1" pivotButton="0" quotePrefix="0" xfId="3">
      <alignment horizontal="center" vertical="center" wrapText="1"/>
    </xf>
    <xf numFmtId="164" fontId="7" fillId="0" borderId="1" applyAlignment="1" pivotButton="0" quotePrefix="0" xfId="0">
      <alignment horizontal="center" vertical="center" wrapText="1"/>
    </xf>
    <xf numFmtId="0" fontId="7" fillId="0" borderId="1" applyAlignment="1" pivotButton="0" quotePrefix="0" xfId="2">
      <alignment horizontal="center" vertical="center" wrapText="1"/>
    </xf>
    <xf numFmtId="0" fontId="33" fillId="5" borderId="0" applyAlignment="1" pivotButton="0" quotePrefix="0" xfId="0">
      <alignment vertical="center"/>
    </xf>
    <xf numFmtId="0" fontId="33" fillId="0" borderId="0" applyAlignment="1" pivotButton="0" quotePrefix="0" xfId="0">
      <alignment vertical="center"/>
    </xf>
    <xf numFmtId="0" fontId="7" fillId="0" borderId="0" applyAlignment="1" pivotButton="0" quotePrefix="0" xfId="0">
      <alignment horizontal="left" vertical="center"/>
    </xf>
    <xf numFmtId="0" fontId="7" fillId="0" borderId="0" applyAlignment="1" pivotButton="0" quotePrefix="0" xfId="0">
      <alignment vertical="center"/>
    </xf>
    <xf numFmtId="0" fontId="33" fillId="5" borderId="0" applyAlignment="1" pivotButton="0" quotePrefix="0" xfId="0">
      <alignment horizontal="left" vertical="center"/>
    </xf>
    <xf numFmtId="0" fontId="20" fillId="0" borderId="0" applyAlignment="1" pivotButton="0" quotePrefix="0" xfId="0">
      <alignment vertical="center"/>
    </xf>
    <xf numFmtId="164" fontId="15" fillId="0" borderId="1" applyAlignment="1" pivotButton="0" quotePrefix="0" xfId="0">
      <alignment horizontal="center" vertical="center"/>
    </xf>
    <xf numFmtId="0" fontId="30" fillId="0" borderId="1" pivotButton="0" quotePrefix="0" xfId="0"/>
    <xf numFmtId="0" fontId="47" fillId="0" borderId="0" pivotButton="0" quotePrefix="0" xfId="0"/>
    <xf numFmtId="164" fontId="7" fillId="0" borderId="0" applyAlignment="1" pivotButton="0" quotePrefix="0" xfId="7">
      <alignment vertical="center"/>
    </xf>
    <xf numFmtId="0" fontId="7" fillId="0" borderId="0" applyAlignment="1" pivotButton="0" quotePrefix="0" xfId="0">
      <alignment horizontal="center" vertical="center"/>
    </xf>
    <xf numFmtId="0" fontId="10" fillId="0" borderId="0" applyAlignment="1" pivotButton="0" quotePrefix="0" xfId="0">
      <alignment horizontal="center" vertical="center"/>
    </xf>
    <xf numFmtId="0" fontId="47" fillId="0" borderId="0" applyAlignment="1" pivotButton="0" quotePrefix="0" xfId="0">
      <alignment horizontal="center"/>
    </xf>
    <xf numFmtId="0" fontId="33" fillId="0" borderId="0" applyAlignment="1" pivotButton="0" quotePrefix="0" xfId="0">
      <alignment horizontal="center" vertical="center"/>
    </xf>
    <xf numFmtId="0" fontId="26" fillId="0" borderId="0" pivotButton="0" quotePrefix="0" xfId="0"/>
    <xf numFmtId="0" fontId="16" fillId="0" borderId="0" applyAlignment="1" pivotButton="0" quotePrefix="0" xfId="2">
      <alignment vertical="center"/>
    </xf>
    <xf numFmtId="0" fontId="10" fillId="6" borderId="1" applyAlignment="1" pivotButton="0" quotePrefix="0" xfId="22">
      <alignment horizontal="center" vertical="center" wrapText="1"/>
    </xf>
    <xf numFmtId="165" fontId="4" fillId="0" borderId="1" applyAlignment="1" pivotButton="0" quotePrefix="0" xfId="1">
      <alignment vertical="center" wrapText="1"/>
    </xf>
    <xf numFmtId="0" fontId="38" fillId="0" borderId="1" applyAlignment="1" pivotButton="0" quotePrefix="0" xfId="0">
      <alignment horizontal="center" vertical="center" wrapText="1"/>
    </xf>
    <xf numFmtId="0" fontId="38" fillId="6" borderId="1" applyAlignment="1" pivotButton="0" quotePrefix="0" xfId="0">
      <alignment vertical="center"/>
    </xf>
    <xf numFmtId="0" fontId="30" fillId="6" borderId="1" applyAlignment="1" pivotButton="0" quotePrefix="0" xfId="0">
      <alignment horizontal="center" vertical="center" wrapText="1"/>
    </xf>
    <xf numFmtId="0" fontId="30" fillId="0" borderId="1" applyAlignment="1" pivotButton="0" quotePrefix="0" xfId="0">
      <alignment vertical="center" wrapText="1"/>
    </xf>
    <xf numFmtId="164" fontId="10" fillId="0" borderId="1" applyAlignment="1" pivotButton="0" quotePrefix="0" xfId="27">
      <alignment vertical="center" wrapText="1"/>
    </xf>
    <xf numFmtId="0" fontId="0" fillId="0" borderId="0" applyAlignment="1" pivotButton="0" quotePrefix="0" xfId="0">
      <alignment horizontal="center" vertical="center"/>
    </xf>
    <xf numFmtId="0" fontId="16" fillId="0" borderId="1" applyAlignment="1" pivotButton="0" quotePrefix="0" xfId="2">
      <alignment horizontal="center" vertical="center" wrapText="1"/>
    </xf>
    <xf numFmtId="0" fontId="45" fillId="0" borderId="1" applyAlignment="1" pivotButton="0" quotePrefix="0" xfId="0">
      <alignment horizontal="center" vertical="center" wrapText="1"/>
    </xf>
    <xf numFmtId="164" fontId="6" fillId="0" borderId="1" applyAlignment="1" pivotButton="0" quotePrefix="0" xfId="27">
      <alignment vertical="center" wrapText="1"/>
    </xf>
    <xf numFmtId="0" fontId="10" fillId="0" borderId="1" applyAlignment="1" pivotButton="0" quotePrefix="0" xfId="23">
      <alignment horizontal="left" vertical="center" wrapText="1"/>
    </xf>
    <xf numFmtId="0" fontId="6" fillId="0" borderId="1" applyAlignment="1" pivotButton="0" quotePrefix="0" xfId="0">
      <alignment vertical="center" wrapText="1"/>
    </xf>
    <xf numFmtId="0" fontId="48" fillId="0" borderId="1" applyAlignment="1" pivotButton="0" quotePrefix="0" xfId="23">
      <alignment horizontal="center" vertical="center" wrapText="1"/>
    </xf>
    <xf numFmtId="164" fontId="7" fillId="0" borderId="1" applyAlignment="1" pivotButton="0" quotePrefix="0" xfId="27">
      <alignment vertical="center" wrapText="1"/>
    </xf>
    <xf numFmtId="164" fontId="7" fillId="4" borderId="1" applyAlignment="1" pivotButton="0" quotePrefix="0" xfId="1">
      <alignment vertical="center"/>
    </xf>
    <xf numFmtId="0" fontId="6" fillId="4" borderId="1" applyAlignment="1" pivotButton="0" quotePrefix="0" xfId="0">
      <alignment horizontal="left" vertical="center" wrapText="1"/>
    </xf>
    <xf numFmtId="3" fontId="6" fillId="4" borderId="1" applyAlignment="1" pivotButton="0" quotePrefix="0" xfId="0">
      <alignment horizontal="left" vertical="center" wrapText="1"/>
    </xf>
    <xf numFmtId="164" fontId="11" fillId="0" borderId="0" applyAlignment="1" pivotButton="0" quotePrefix="0" xfId="0">
      <alignment vertical="center"/>
    </xf>
    <xf numFmtId="0" fontId="33" fillId="5" borderId="0" applyAlignment="1" pivotButton="0" quotePrefix="0" xfId="2">
      <alignment vertical="center"/>
    </xf>
    <xf numFmtId="0" fontId="5" fillId="0" borderId="0" applyAlignment="1" pivotButton="0" quotePrefix="0" xfId="2">
      <alignment vertical="center"/>
    </xf>
    <xf numFmtId="0" fontId="7" fillId="0" borderId="0" applyAlignment="1" pivotButton="0" quotePrefix="0" xfId="2">
      <alignment vertical="center"/>
    </xf>
    <xf numFmtId="0" fontId="7" fillId="0" borderId="0" applyAlignment="1" pivotButton="0" quotePrefix="0" xfId="2">
      <alignment horizontal="left" vertical="center"/>
    </xf>
    <xf numFmtId="0" fontId="16" fillId="0" borderId="0" applyAlignment="1" pivotButton="0" quotePrefix="0" xfId="0">
      <alignment horizontal="left"/>
    </xf>
    <xf numFmtId="0" fontId="0" fillId="6" borderId="0" applyAlignment="1" pivotButton="0" quotePrefix="0" xfId="0">
      <alignment horizontal="center" vertical="center"/>
    </xf>
    <xf numFmtId="0" fontId="10" fillId="6" borderId="0" applyAlignment="1" pivotButton="0" quotePrefix="0" xfId="0">
      <alignment horizontal="center" vertical="center"/>
    </xf>
    <xf numFmtId="0" fontId="30" fillId="6" borderId="0" applyAlignment="1" pivotButton="0" quotePrefix="0" xfId="0">
      <alignment horizontal="center" vertical="center"/>
    </xf>
    <xf numFmtId="0" fontId="7" fillId="6" borderId="0" applyAlignment="1" pivotButton="0" quotePrefix="0" xfId="0">
      <alignment horizontal="center" vertical="center"/>
    </xf>
    <xf numFmtId="0" fontId="23" fillId="0" borderId="0" applyAlignment="1" pivotButton="0" quotePrefix="0" xfId="0">
      <alignment horizontal="center" vertical="center"/>
    </xf>
    <xf numFmtId="0" fontId="21" fillId="0" borderId="0" applyAlignment="1" pivotButton="0" quotePrefix="0" xfId="0">
      <alignment horizontal="center" vertical="center"/>
    </xf>
    <xf numFmtId="0" fontId="6" fillId="0" borderId="0" applyAlignment="1" pivotButton="0" quotePrefix="0" xfId="0">
      <alignment vertical="center" wrapText="1"/>
    </xf>
    <xf numFmtId="0" fontId="4" fillId="0" borderId="0" pivotButton="0" quotePrefix="0" xfId="0"/>
    <xf numFmtId="0" fontId="4" fillId="0" borderId="0" applyAlignment="1" pivotButton="0" quotePrefix="0" xfId="0">
      <alignment vertical="center"/>
    </xf>
    <xf numFmtId="0" fontId="4" fillId="0" borderId="0" applyAlignment="1" pivotButton="0" quotePrefix="0" xfId="0">
      <alignment horizontal="left" vertical="center"/>
    </xf>
    <xf numFmtId="0" fontId="7" fillId="0" borderId="0" pivotButton="0" quotePrefix="0" xfId="0"/>
    <xf numFmtId="0" fontId="33" fillId="7" borderId="0" applyAlignment="1" pivotButton="0" quotePrefix="0" xfId="0">
      <alignment vertical="center"/>
    </xf>
    <xf numFmtId="0" fontId="4" fillId="7" borderId="0" pivotButton="0" quotePrefix="0" xfId="0"/>
    <xf numFmtId="0" fontId="4" fillId="7" borderId="0" applyAlignment="1" pivotButton="0" quotePrefix="0" xfId="0">
      <alignment vertical="center"/>
    </xf>
    <xf numFmtId="0" fontId="52" fillId="0" borderId="6" applyAlignment="1" pivotButton="0" quotePrefix="0" xfId="0">
      <alignment horizontal="center" vertical="center" wrapText="1"/>
    </xf>
    <xf numFmtId="0" fontId="53" fillId="0" borderId="6" applyAlignment="1" pivotButton="0" quotePrefix="0" xfId="0">
      <alignment horizontal="center" vertical="center" wrapText="1"/>
    </xf>
    <xf numFmtId="0" fontId="29" fillId="0" borderId="6" applyAlignment="1" pivotButton="0" quotePrefix="0" xfId="0">
      <alignment horizontal="center" vertical="center" wrapText="1"/>
    </xf>
    <xf numFmtId="3" fontId="10" fillId="0" borderId="6" applyAlignment="1" pivotButton="0" quotePrefix="0" xfId="0">
      <alignment horizontal="right" vertical="center" wrapText="1"/>
    </xf>
    <xf numFmtId="0" fontId="4" fillId="0" borderId="6" applyAlignment="1" pivotButton="0" quotePrefix="0" xfId="0">
      <alignment vertical="center" wrapText="1"/>
    </xf>
    <xf numFmtId="164" fontId="53" fillId="0" borderId="6" applyAlignment="1" pivotButton="0" quotePrefix="0" xfId="0">
      <alignment horizontal="center" vertical="center"/>
    </xf>
    <xf numFmtId="0" fontId="4" fillId="0" borderId="6" pivotButton="0" quotePrefix="0" xfId="0"/>
    <xf numFmtId="43" fontId="37" fillId="0" borderId="0" pivotButton="0" quotePrefix="0" xfId="0"/>
    <xf numFmtId="0" fontId="53" fillId="0" borderId="0" applyAlignment="1" pivotButton="0" quotePrefix="0" xfId="0">
      <alignment horizontal="center" vertical="top" wrapText="1"/>
    </xf>
    <xf numFmtId="0" fontId="53" fillId="0" borderId="0" applyAlignment="1" pivotButton="0" quotePrefix="0" xfId="0">
      <alignment vertical="top" wrapText="1"/>
    </xf>
    <xf numFmtId="0" fontId="53" fillId="0" borderId="0" applyAlignment="1" pivotButton="0" quotePrefix="0" xfId="0">
      <alignment vertical="center" wrapText="1"/>
    </xf>
    <xf numFmtId="0" fontId="53" fillId="0" borderId="0" applyAlignment="1" pivotButton="0" quotePrefix="0" xfId="0">
      <alignment horizontal="center" vertical="center" wrapText="1"/>
    </xf>
    <xf numFmtId="0" fontId="7" fillId="0" borderId="1" applyAlignment="1" pivotButton="0" quotePrefix="0" xfId="22">
      <alignment horizontal="left" vertical="center" wrapText="1"/>
    </xf>
    <xf numFmtId="0" fontId="7" fillId="0" borderId="1" applyAlignment="1" pivotButton="0" quotePrefix="0" xfId="22">
      <alignment horizontal="center" vertical="center" wrapText="1"/>
    </xf>
    <xf numFmtId="3" fontId="7" fillId="0" borderId="1" applyAlignment="1" pivotButton="0" quotePrefix="0" xfId="0">
      <alignment vertical="center" wrapText="1"/>
    </xf>
    <xf numFmtId="0" fontId="7" fillId="6" borderId="1" applyAlignment="1" pivotButton="0" quotePrefix="0" xfId="22">
      <alignment horizontal="center" vertical="center" wrapText="1"/>
    </xf>
    <xf numFmtId="0" fontId="7" fillId="0" borderId="1" applyAlignment="1" pivotButton="0" quotePrefix="0" xfId="11">
      <alignment horizontal="left" vertical="center"/>
    </xf>
    <xf numFmtId="0" fontId="6" fillId="0" borderId="1" applyAlignment="1" pivotButton="0" quotePrefix="0" xfId="11">
      <alignment horizontal="left" vertical="center"/>
    </xf>
    <xf numFmtId="0" fontId="7" fillId="0" borderId="1" applyAlignment="1" pivotButton="0" quotePrefix="0" xfId="11">
      <alignment horizontal="center" vertical="center"/>
    </xf>
    <xf numFmtId="0" fontId="6" fillId="0" borderId="1" applyAlignment="1" pivotButton="0" quotePrefix="0" xfId="17">
      <alignment horizontal="left" vertical="top"/>
    </xf>
    <xf numFmtId="0" fontId="31" fillId="0" borderId="1" applyAlignment="1" pivotButton="0" quotePrefix="0" xfId="0">
      <alignment horizontal="center" vertical="center" wrapText="1"/>
    </xf>
    <xf numFmtId="0" fontId="31" fillId="0" borderId="1" applyAlignment="1" pivotButton="0" quotePrefix="0" xfId="17">
      <alignment horizontal="center" vertical="center" wrapText="1"/>
    </xf>
    <xf numFmtId="0" fontId="31" fillId="0" borderId="1" applyAlignment="1" pivotButton="0" quotePrefix="0" xfId="11">
      <alignment horizontal="center" vertical="center" wrapText="1"/>
    </xf>
    <xf numFmtId="164" fontId="7" fillId="0" borderId="1" applyAlignment="1" pivotButton="0" quotePrefix="0" xfId="30">
      <alignment horizontal="center" vertical="center" wrapText="1"/>
    </xf>
    <xf numFmtId="164" fontId="42" fillId="0" borderId="1" applyAlignment="1" pivotButton="0" quotePrefix="0" xfId="29">
      <alignment vertical="center" wrapText="1"/>
    </xf>
    <xf numFmtId="164" fontId="42" fillId="0" borderId="1" applyAlignment="1" pivotButton="0" quotePrefix="0" xfId="30">
      <alignment horizontal="center" vertical="center" wrapText="1"/>
    </xf>
    <xf numFmtId="0" fontId="10" fillId="0" borderId="1" applyAlignment="1" pivotButton="0" quotePrefix="0" xfId="30">
      <alignment horizontal="center" vertical="center" wrapText="1"/>
    </xf>
    <xf numFmtId="164" fontId="10" fillId="0" borderId="1" applyAlignment="1" pivotButton="0" quotePrefix="0" xfId="30">
      <alignment horizontal="center" vertical="center" wrapText="1"/>
    </xf>
    <xf numFmtId="0" fontId="9" fillId="6" borderId="1" applyAlignment="1" pivotButton="0" quotePrefix="0" xfId="0">
      <alignment horizontal="center" vertical="center" wrapText="1"/>
    </xf>
    <xf numFmtId="3" fontId="10" fillId="0" borderId="1" applyAlignment="1" pivotButton="0" quotePrefix="0" xfId="0">
      <alignment vertical="center"/>
    </xf>
    <xf numFmtId="0" fontId="9" fillId="6" borderId="1" applyAlignment="1" pivotButton="0" quotePrefix="0" xfId="15">
      <alignment horizontal="center" vertical="center" wrapText="1"/>
    </xf>
    <xf numFmtId="0" fontId="4" fillId="0" borderId="1" applyAlignment="1" pivotButton="0" quotePrefix="0" xfId="28">
      <alignment horizontal="center" vertical="center" wrapText="1"/>
    </xf>
    <xf numFmtId="0" fontId="9" fillId="0" borderId="1" applyAlignment="1" pivotButton="0" quotePrefix="0" xfId="0">
      <alignment vertical="center" wrapText="1"/>
    </xf>
    <xf numFmtId="0" fontId="4" fillId="0" borderId="1" applyAlignment="1" pivotButton="0" quotePrefix="0" xfId="23">
      <alignment horizontal="center" vertical="center" wrapText="1"/>
    </xf>
    <xf numFmtId="0" fontId="30" fillId="0" borderId="1" applyAlignment="1" pivotButton="0" quotePrefix="0" xfId="15">
      <alignment horizontal="center" vertical="center" wrapText="1"/>
    </xf>
    <xf numFmtId="0" fontId="10" fillId="0" borderId="1" applyAlignment="1" pivotButton="0" quotePrefix="0" xfId="0">
      <alignment vertical="center" wrapText="1"/>
    </xf>
    <xf numFmtId="0" fontId="10" fillId="6" borderId="1" applyAlignment="1" pivotButton="0" quotePrefix="0" xfId="14">
      <alignment horizontal="center" vertical="center" wrapText="1"/>
    </xf>
    <xf numFmtId="164" fontId="17" fillId="0" borderId="12" applyAlignment="1" pivotButton="0" quotePrefix="0" xfId="0">
      <alignment horizontal="center" vertical="center"/>
    </xf>
    <xf numFmtId="0" fontId="16" fillId="0" borderId="12" pivotButton="0" quotePrefix="0" xfId="0"/>
    <xf numFmtId="0" fontId="31" fillId="0" borderId="1" applyAlignment="1" pivotButton="0" quotePrefix="0" xfId="0">
      <alignment vertical="center" wrapText="1"/>
    </xf>
    <xf numFmtId="0" fontId="31" fillId="6" borderId="1" applyAlignment="1" pivotButton="0" quotePrefix="0" xfId="0">
      <alignment horizontal="center" vertical="center" wrapText="1"/>
    </xf>
    <xf numFmtId="0" fontId="31" fillId="0" borderId="1" applyAlignment="1" pivotButton="0" quotePrefix="0" xfId="4">
      <alignment horizontal="center" vertical="center" wrapText="1"/>
    </xf>
    <xf numFmtId="3" fontId="31" fillId="0" borderId="1" applyAlignment="1" pivotButton="0" quotePrefix="0" xfId="0">
      <alignment horizontal="center" vertical="center" wrapText="1"/>
    </xf>
    <xf numFmtId="164" fontId="10" fillId="0" borderId="1" applyAlignment="1" pivotButton="0" quotePrefix="0" xfId="29">
      <alignment horizontal="center" vertical="center" wrapText="1"/>
    </xf>
    <xf numFmtId="0" fontId="54" fillId="0" borderId="1" applyAlignment="1" pivotButton="0" quotePrefix="0" xfId="0">
      <alignment horizontal="center" vertical="center" wrapText="1"/>
    </xf>
    <xf numFmtId="0" fontId="54" fillId="0" borderId="1" applyAlignment="1" pivotButton="0" quotePrefix="0" xfId="0">
      <alignment vertical="center" wrapText="1"/>
    </xf>
    <xf numFmtId="0" fontId="30" fillId="0" borderId="1" applyAlignment="1" pivotButton="0" quotePrefix="0" xfId="2">
      <alignment horizontal="center" vertical="center" wrapText="1"/>
    </xf>
    <xf numFmtId="0" fontId="55" fillId="6" borderId="1" applyAlignment="1" pivotButton="0" quotePrefix="0" xfId="17">
      <alignment horizontal="center" vertical="center" wrapText="1"/>
    </xf>
    <xf numFmtId="0" fontId="55" fillId="6" borderId="1" applyAlignment="1" pivotButton="0" quotePrefix="0" xfId="0">
      <alignment horizontal="center" vertical="center" wrapText="1"/>
    </xf>
    <xf numFmtId="0" fontId="55" fillId="6" borderId="1" applyAlignment="1" pivotButton="0" quotePrefix="0" xfId="0">
      <alignment horizontal="left" vertical="center" wrapText="1"/>
    </xf>
    <xf numFmtId="164" fontId="9" fillId="6" borderId="1" applyAlignment="1" pivotButton="0" quotePrefix="0" xfId="29">
      <alignment vertical="center" wrapText="1"/>
    </xf>
    <xf numFmtId="0" fontId="10" fillId="0" borderId="1" applyAlignment="1" pivotButton="0" quotePrefix="0" xfId="30">
      <alignment horizontal="left" vertical="center" wrapText="1"/>
    </xf>
    <xf numFmtId="0" fontId="17" fillId="0" borderId="17" applyAlignment="1" pivotButton="0" quotePrefix="0" xfId="0">
      <alignment horizontal="center" vertical="center" wrapText="1"/>
    </xf>
    <xf numFmtId="0" fontId="46" fillId="0" borderId="17" applyAlignment="1" pivotButton="0" quotePrefix="0" xfId="3">
      <alignment horizontal="center" vertical="center" wrapText="1"/>
    </xf>
    <xf numFmtId="0" fontId="56" fillId="0" borderId="0" applyAlignment="1" pivotButton="0" quotePrefix="0" xfId="0">
      <alignment vertical="center"/>
    </xf>
    <xf numFmtId="164" fontId="5" fillId="4" borderId="1" applyAlignment="1" pivotButton="0" quotePrefix="0" xfId="1">
      <alignment vertical="center"/>
    </xf>
    <xf numFmtId="0" fontId="9" fillId="8" borderId="1" applyAlignment="1" pivotButton="0" quotePrefix="0" xfId="0">
      <alignment horizontal="center" vertical="center" wrapText="1"/>
    </xf>
    <xf numFmtId="0" fontId="10" fillId="8" borderId="1" applyAlignment="1" pivotButton="0" quotePrefix="0" xfId="0">
      <alignment horizontal="center" vertical="center" wrapText="1"/>
    </xf>
    <xf numFmtId="3" fontId="9" fillId="8" borderId="1" applyAlignment="1" pivotButton="0" quotePrefix="0" xfId="0">
      <alignment horizontal="center" vertical="center" wrapText="1"/>
    </xf>
    <xf numFmtId="3" fontId="10" fillId="6" borderId="1" applyAlignment="1" pivotButton="0" quotePrefix="0" xfId="0">
      <alignment horizontal="center" vertical="center" wrapText="1"/>
    </xf>
    <xf numFmtId="0" fontId="48" fillId="0" borderId="1" applyAlignment="1" pivotButton="0" quotePrefix="0" xfId="0">
      <alignment horizontal="center" vertical="center" wrapText="1"/>
    </xf>
    <xf numFmtId="1" fontId="9" fillId="8" borderId="1" applyAlignment="1" pivotButton="0" quotePrefix="0" xfId="0">
      <alignment horizontal="center" vertical="center" wrapText="1"/>
    </xf>
    <xf numFmtId="0" fontId="9" fillId="0" borderId="1" applyAlignment="1" pivotButton="0" quotePrefix="0" xfId="0">
      <alignment horizontal="center" vertical="center"/>
    </xf>
    <xf numFmtId="165" fontId="9" fillId="0" borderId="1" applyAlignment="1" pivotButton="0" quotePrefix="0" xfId="1">
      <alignment vertical="center"/>
    </xf>
    <xf numFmtId="0" fontId="7" fillId="0" borderId="1" applyAlignment="1" pivotButton="0" quotePrefix="0" xfId="2">
      <alignment vertical="center" wrapText="1"/>
    </xf>
    <xf numFmtId="3" fontId="7" fillId="0" borderId="1" applyAlignment="1" pivotButton="0" quotePrefix="0" xfId="0">
      <alignment horizontal="center" vertical="center" wrapText="1"/>
    </xf>
    <xf numFmtId="0" fontId="10" fillId="0" borderId="1" applyAlignment="1" pivotButton="0" quotePrefix="0" xfId="32">
      <alignment horizontal="left" vertical="center" wrapText="1"/>
    </xf>
    <xf numFmtId="0" fontId="10" fillId="0" borderId="1" applyAlignment="1" pivotButton="0" quotePrefix="0" xfId="32">
      <alignment horizontal="center" vertical="center" wrapText="1"/>
    </xf>
    <xf numFmtId="0" fontId="6" fillId="0" borderId="1" applyAlignment="1" pivotButton="0" quotePrefix="0" xfId="17">
      <alignment horizontal="center" vertical="center" wrapText="1"/>
    </xf>
    <xf numFmtId="164" fontId="7" fillId="0" borderId="1" applyAlignment="1" pivotButton="0" quotePrefix="0" xfId="29">
      <alignment horizontal="justify" vertical="center" wrapText="1"/>
    </xf>
    <xf numFmtId="0" fontId="6" fillId="0" borderId="1" applyAlignment="1" pivotButton="0" quotePrefix="0" xfId="4">
      <alignment horizontal="center" vertical="center" wrapText="1"/>
    </xf>
    <xf numFmtId="3" fontId="7" fillId="6" borderId="1" applyAlignment="1" pivotButton="0" quotePrefix="0" xfId="0">
      <alignment horizontal="right" vertical="center" wrapText="1"/>
    </xf>
    <xf numFmtId="164" fontId="7" fillId="0" borderId="1" applyAlignment="1" pivotButton="0" quotePrefix="0" xfId="29">
      <alignment horizontal="right" vertical="center" wrapText="1"/>
    </xf>
    <xf numFmtId="0" fontId="38" fillId="0" borderId="1" applyAlignment="1" pivotButton="0" quotePrefix="0" xfId="2">
      <alignment horizontal="center" vertical="center" wrapText="1"/>
    </xf>
    <xf numFmtId="3" fontId="10" fillId="6" borderId="1" applyAlignment="1" pivotButton="0" quotePrefix="0" xfId="0">
      <alignment horizontal="right" vertical="center" wrapText="1"/>
    </xf>
    <xf numFmtId="0" fontId="10" fillId="6" borderId="1" applyAlignment="1" pivotButton="0" quotePrefix="0" xfId="15">
      <alignment horizontal="center" vertical="center" wrapText="1"/>
    </xf>
    <xf numFmtId="164" fontId="6" fillId="0" borderId="1" applyAlignment="1" pivotButton="0" quotePrefix="0" xfId="0">
      <alignment horizontal="right" vertical="center" wrapText="1"/>
    </xf>
    <xf numFmtId="164" fontId="7" fillId="0" borderId="1" applyAlignment="1" pivotButton="0" quotePrefix="0" xfId="0">
      <alignment horizontal="right" vertical="center" wrapText="1"/>
    </xf>
    <xf numFmtId="3" fontId="10" fillId="6" borderId="1" applyAlignment="1" pivotButton="0" quotePrefix="0" xfId="0">
      <alignment vertical="center" wrapText="1"/>
    </xf>
    <xf numFmtId="164" fontId="6" fillId="0" borderId="1" applyAlignment="1" pivotButton="0" quotePrefix="0" xfId="4">
      <alignment horizontal="right" vertical="center" wrapText="1"/>
    </xf>
    <xf numFmtId="0" fontId="9" fillId="6" borderId="1" applyAlignment="1" pivotButton="0" quotePrefix="0" xfId="14">
      <alignment horizontal="center" vertical="center" wrapText="1"/>
    </xf>
    <xf numFmtId="0" fontId="9" fillId="6" borderId="1" applyAlignment="1" pivotButton="0" quotePrefix="0" xfId="22">
      <alignment horizontal="center" vertical="center" wrapText="1"/>
    </xf>
    <xf numFmtId="0" fontId="10" fillId="6" borderId="1" applyAlignment="1" pivotButton="0" quotePrefix="0" xfId="35">
      <alignment horizontal="center" vertical="center" wrapText="1"/>
    </xf>
    <xf numFmtId="164" fontId="31" fillId="0" borderId="1" applyAlignment="1" pivotButton="0" quotePrefix="0" xfId="27">
      <alignment vertical="center" wrapText="1"/>
    </xf>
    <xf numFmtId="164" fontId="31" fillId="0" borderId="1" applyAlignment="1" pivotButton="0" quotePrefix="0" xfId="30">
      <alignment horizontal="center" vertical="center" wrapText="1"/>
    </xf>
    <xf numFmtId="0" fontId="34" fillId="0" borderId="1" applyAlignment="1" pivotButton="0" quotePrefix="0" xfId="2">
      <alignment vertical="center" wrapText="1"/>
    </xf>
    <xf numFmtId="0" fontId="31" fillId="0" borderId="1" applyAlignment="1" pivotButton="0" quotePrefix="0" xfId="2">
      <alignment horizontal="center" vertical="center" wrapText="1"/>
    </xf>
    <xf numFmtId="3" fontId="31" fillId="6" borderId="1" applyAlignment="1" pivotButton="0" quotePrefix="0" xfId="0">
      <alignment horizontal="center" vertical="center" wrapText="1"/>
    </xf>
    <xf numFmtId="0" fontId="50" fillId="0" borderId="6" applyAlignment="1" pivotButton="0" quotePrefix="0" xfId="0">
      <alignment horizontal="center" vertical="center" wrapText="1"/>
    </xf>
    <xf numFmtId="0" fontId="34" fillId="0" borderId="1" pivotButton="0" quotePrefix="0" xfId="0"/>
    <xf numFmtId="165" fontId="51" fillId="0" borderId="1" applyAlignment="1" applyProtection="1" pivotButton="0" quotePrefix="0" xfId="1">
      <alignment vertical="center" wrapText="1"/>
      <protection locked="0" hidden="0"/>
    </xf>
    <xf numFmtId="164" fontId="31" fillId="0" borderId="1" applyAlignment="1" pivotButton="0" quotePrefix="0" xfId="0">
      <alignment horizontal="center" vertical="center" wrapText="1"/>
    </xf>
    <xf numFmtId="0" fontId="50" fillId="0" borderId="1" applyAlignment="1" pivotButton="0" quotePrefix="0" xfId="2">
      <alignment horizontal="center" vertical="center" wrapText="1"/>
    </xf>
    <xf numFmtId="165" fontId="50" fillId="0" borderId="1" applyAlignment="1" pivotButton="0" quotePrefix="0" xfId="1">
      <alignment vertical="center"/>
    </xf>
    <xf numFmtId="0" fontId="4" fillId="0" borderId="1" applyAlignment="1" pivotButton="0" quotePrefix="0" xfId="4">
      <alignment horizontal="center" vertical="center" wrapText="1"/>
    </xf>
    <xf numFmtId="0" fontId="7" fillId="6" borderId="1" applyAlignment="1" pivotButton="0" quotePrefix="0" xfId="0">
      <alignment horizontal="center" vertical="center" wrapText="1"/>
    </xf>
    <xf numFmtId="165" fontId="7" fillId="6" borderId="1" applyAlignment="1" pivotButton="0" quotePrefix="0" xfId="29">
      <alignment horizontal="center" vertical="center" wrapText="1"/>
    </xf>
    <xf numFmtId="0" fontId="6" fillId="0" borderId="17" applyAlignment="1" pivotButton="0" quotePrefix="0" xfId="2">
      <alignment vertical="center" wrapText="1"/>
    </xf>
    <xf numFmtId="0" fontId="6" fillId="0" borderId="1" applyAlignment="1" pivotButton="0" quotePrefix="0" xfId="0">
      <alignment vertical="center"/>
    </xf>
    <xf numFmtId="0" fontId="41" fillId="0" borderId="1" applyAlignment="1" pivotButton="0" quotePrefix="0" xfId="2">
      <alignment vertical="center" wrapText="1"/>
    </xf>
    <xf numFmtId="3" fontId="31" fillId="0" borderId="1" applyAlignment="1" pivotButton="0" quotePrefix="0" xfId="0">
      <alignment horizontal="right" vertical="center" wrapText="1"/>
    </xf>
    <xf numFmtId="165" fontId="31" fillId="0" borderId="1" applyAlignment="1" pivotButton="0" quotePrefix="0" xfId="1">
      <alignment horizontal="right" vertical="center"/>
    </xf>
    <xf numFmtId="0" fontId="6" fillId="6" borderId="1" applyAlignment="1" pivotButton="0" quotePrefix="0" xfId="0">
      <alignment horizontal="center" vertical="center" wrapText="1"/>
    </xf>
    <xf numFmtId="0" fontId="57" fillId="0" borderId="1" applyAlignment="1" pivotButton="0" quotePrefix="0" xfId="0">
      <alignment horizontal="center" vertical="center" wrapText="1"/>
    </xf>
    <xf numFmtId="41" fontId="6" fillId="0" borderId="1" applyAlignment="1" pivotButton="0" quotePrefix="0" xfId="0">
      <alignment vertical="center" wrapText="1"/>
    </xf>
    <xf numFmtId="41" fontId="19" fillId="0" borderId="1" applyAlignment="1" pivotButton="0" quotePrefix="0" xfId="0">
      <alignment vertical="center"/>
    </xf>
    <xf numFmtId="41" fontId="6" fillId="8" borderId="1" applyAlignment="1" pivotButton="0" quotePrefix="0" xfId="0">
      <alignment vertical="center" wrapText="1"/>
    </xf>
    <xf numFmtId="164" fontId="7" fillId="0" borderId="12" applyAlignment="1" pivotButton="0" quotePrefix="0" xfId="30">
      <alignment horizontal="center" vertical="center" wrapText="1"/>
    </xf>
    <xf numFmtId="1" fontId="10" fillId="0" borderId="1" applyAlignment="1" pivotButton="0" quotePrefix="0" xfId="0">
      <alignment horizontal="center" vertical="center" wrapText="1"/>
    </xf>
    <xf numFmtId="3" fontId="9" fillId="0" borderId="1" applyAlignment="1" pivotButton="0" quotePrefix="0" xfId="0">
      <alignment horizontal="center" vertical="center" wrapText="1"/>
    </xf>
    <xf numFmtId="165" fontId="9" fillId="0" borderId="1" applyAlignment="1" pivotButton="0" quotePrefix="0" xfId="1">
      <alignment vertical="center"/>
    </xf>
    <xf numFmtId="0" fontId="9" fillId="0" borderId="1" applyAlignment="1" pivotButton="0" quotePrefix="0" xfId="0">
      <alignment vertical="center"/>
    </xf>
    <xf numFmtId="164" fontId="58" fillId="0" borderId="1" applyAlignment="1" pivotButton="0" quotePrefix="0" xfId="30">
      <alignment horizontal="center" vertical="center" wrapText="1"/>
    </xf>
    <xf numFmtId="0" fontId="7" fillId="0" borderId="1" applyAlignment="1" pivotButton="0" quotePrefix="0" xfId="32">
      <alignment horizontal="center" vertical="center" wrapText="1"/>
    </xf>
    <xf numFmtId="0" fontId="7" fillId="0" borderId="1" applyAlignment="1" pivotButton="0" quotePrefix="0" xfId="30">
      <alignment horizontal="left" vertical="center" wrapText="1"/>
    </xf>
    <xf numFmtId="0" fontId="6" fillId="6" borderId="1" applyAlignment="1" pivotButton="0" quotePrefix="0" xfId="2">
      <alignment horizontal="center" vertical="center" wrapText="1"/>
    </xf>
    <xf numFmtId="0" fontId="6" fillId="0" borderId="1" applyAlignment="1" pivotButton="0" quotePrefix="0" xfId="32">
      <alignment vertical="center" wrapText="1"/>
    </xf>
    <xf numFmtId="0" fontId="7" fillId="0" borderId="1" applyAlignment="1" pivotButton="0" quotePrefix="0" xfId="32">
      <alignment vertical="center"/>
    </xf>
    <xf numFmtId="0" fontId="7" fillId="0" borderId="1" applyAlignment="1" pivotButton="0" quotePrefix="0" xfId="32">
      <alignment horizontal="left" vertical="center"/>
    </xf>
    <xf numFmtId="0" fontId="7" fillId="0" borderId="1" applyAlignment="1" pivotButton="0" quotePrefix="0" xfId="32">
      <alignment horizontal="center" vertical="center"/>
    </xf>
    <xf numFmtId="0" fontId="6" fillId="0" borderId="1" applyAlignment="1" pivotButton="0" quotePrefix="0" xfId="32">
      <alignment vertical="center"/>
    </xf>
    <xf numFmtId="164" fontId="7" fillId="0" borderId="1" applyAlignment="1" pivotButton="0" quotePrefix="0" xfId="29">
      <alignment horizontal="center" vertical="center" wrapText="1"/>
    </xf>
    <xf numFmtId="165" fontId="31" fillId="0" borderId="1" applyAlignment="1" pivotButton="0" quotePrefix="0" xfId="29">
      <alignment horizontal="right" vertical="center" wrapText="1"/>
    </xf>
    <xf numFmtId="164" fontId="31" fillId="0" borderId="1" applyAlignment="1" pivotButton="0" quotePrefix="0" xfId="0">
      <alignment horizontal="right" vertical="center" wrapText="1"/>
    </xf>
    <xf numFmtId="165" fontId="31" fillId="0" borderId="1" applyAlignment="1" pivotButton="0" quotePrefix="0" xfId="8">
      <alignment horizontal="right" vertical="center" wrapText="1"/>
    </xf>
    <xf numFmtId="165" fontId="7" fillId="6" borderId="1" applyAlignment="1" pivotButton="0" quotePrefix="0" xfId="7">
      <alignment horizontal="right" vertical="center" wrapText="1"/>
    </xf>
    <xf numFmtId="0" fontId="16" fillId="0" borderId="17" applyAlignment="1" pivotButton="0" quotePrefix="0" xfId="0">
      <alignment horizontal="center" vertical="center"/>
    </xf>
    <xf numFmtId="0" fontId="16" fillId="0" borderId="17" applyAlignment="1" pivotButton="0" quotePrefix="0" xfId="0">
      <alignment vertical="center" wrapText="1"/>
    </xf>
    <xf numFmtId="0" fontId="6" fillId="0" borderId="17" applyAlignment="1" pivotButton="0" quotePrefix="0" xfId="2">
      <alignment horizontal="center" vertical="center" wrapText="1"/>
    </xf>
    <xf numFmtId="165" fontId="30" fillId="0" borderId="1" applyAlignment="1" pivotButton="0" quotePrefix="0" xfId="1">
      <alignment vertical="center"/>
    </xf>
    <xf numFmtId="0" fontId="30" fillId="0" borderId="1" applyAlignment="1" pivotButton="0" quotePrefix="0" xfId="0">
      <alignment horizontal="center" vertical="center"/>
    </xf>
    <xf numFmtId="165" fontId="30" fillId="0" borderId="1" applyAlignment="1" pivotButton="0" quotePrefix="0" xfId="0">
      <alignment vertical="center"/>
    </xf>
    <xf numFmtId="0" fontId="38" fillId="0" borderId="1" applyAlignment="1" pivotButton="0" quotePrefix="0" xfId="0">
      <alignment vertical="center"/>
    </xf>
    <xf numFmtId="3" fontId="7" fillId="6" borderId="1" applyAlignment="1" pivotButton="0" quotePrefix="0" xfId="0">
      <alignment horizontal="center" vertical="center" wrapText="1"/>
    </xf>
    <xf numFmtId="0" fontId="48" fillId="0" borderId="1" applyAlignment="1" pivotButton="0" quotePrefix="0" xfId="4">
      <alignment horizontal="center" vertical="center" wrapText="1"/>
    </xf>
    <xf numFmtId="0" fontId="7" fillId="8" borderId="1" applyAlignment="1" pivotButton="0" quotePrefix="0" xfId="0">
      <alignment horizontal="center" vertical="center" wrapText="1"/>
    </xf>
    <xf numFmtId="0" fontId="60" fillId="0" borderId="1" applyAlignment="1" pivotButton="0" quotePrefix="0" xfId="0">
      <alignment horizontal="center" vertical="center" wrapText="1"/>
    </xf>
    <xf numFmtId="0" fontId="43" fillId="0" borderId="0" applyAlignment="1" pivotButton="0" quotePrefix="0" xfId="0">
      <alignment vertical="top" wrapText="1"/>
    </xf>
    <xf numFmtId="0" fontId="43" fillId="0" borderId="0" pivotButton="0" quotePrefix="0" xfId="0"/>
    <xf numFmtId="0" fontId="61" fillId="0" borderId="0" pivotButton="0" quotePrefix="0" xfId="0"/>
    <xf numFmtId="0" fontId="62" fillId="0" borderId="1" applyAlignment="1" pivotButton="0" quotePrefix="0" xfId="0">
      <alignment horizontal="center" vertical="center" wrapText="1"/>
    </xf>
    <xf numFmtId="0" fontId="43" fillId="0" borderId="0" applyAlignment="1" pivotButton="0" quotePrefix="0" xfId="0">
      <alignment vertical="center" wrapText="1"/>
    </xf>
    <xf numFmtId="3" fontId="43" fillId="0" borderId="1" applyAlignment="1" pivotButton="0" quotePrefix="0" xfId="0">
      <alignment horizontal="center" vertical="center" wrapText="1"/>
    </xf>
    <xf numFmtId="164" fontId="43" fillId="0" borderId="1" applyAlignment="1" pivotButton="0" quotePrefix="0" xfId="0">
      <alignment horizontal="center" vertical="center"/>
    </xf>
    <xf numFmtId="164" fontId="60" fillId="0" borderId="1" applyAlignment="1" pivotButton="0" quotePrefix="0" xfId="27">
      <alignment vertical="center" wrapText="1"/>
    </xf>
    <xf numFmtId="3" fontId="6" fillId="4" borderId="1" applyAlignment="1" pivotButton="0" quotePrefix="0" xfId="0">
      <alignment vertical="center"/>
    </xf>
    <xf numFmtId="0" fontId="7" fillId="8" borderId="1" applyAlignment="1" pivotButton="0" quotePrefix="0" xfId="0">
      <alignment horizontal="left" vertical="center" wrapText="1"/>
    </xf>
    <xf numFmtId="3" fontId="6" fillId="8" borderId="1" applyAlignment="1" pivotButton="0" quotePrefix="0" xfId="0">
      <alignment horizontal="center" vertical="center" wrapText="1"/>
    </xf>
    <xf numFmtId="3" fontId="7" fillId="6" borderId="1" applyAlignment="1" pivotButton="0" quotePrefix="0" xfId="0">
      <alignment vertical="center" wrapText="1"/>
    </xf>
    <xf numFmtId="0" fontId="6" fillId="0" borderId="1" applyAlignment="1" pivotButton="0" quotePrefix="0" xfId="0">
      <alignment horizontal="left" vertical="center" wrapText="1"/>
    </xf>
    <xf numFmtId="0" fontId="7" fillId="0" borderId="1" applyAlignment="1" pivotButton="0" quotePrefix="0" xfId="38">
      <alignment horizontal="center" vertical="center" wrapText="1"/>
    </xf>
    <xf numFmtId="0" fontId="7" fillId="0" borderId="1" applyAlignment="1" pivotButton="0" quotePrefix="0" xfId="38">
      <alignment horizontal="left" vertical="center" wrapText="1"/>
    </xf>
    <xf numFmtId="0" fontId="7" fillId="0" borderId="1" applyAlignment="1" pivotButton="0" quotePrefix="0" xfId="39">
      <alignment horizontal="center" vertical="center" wrapText="1"/>
    </xf>
    <xf numFmtId="0" fontId="6" fillId="0" borderId="1" applyAlignment="1" pivotButton="0" quotePrefix="0" xfId="39">
      <alignment horizontal="left" vertical="center" wrapText="1"/>
    </xf>
    <xf numFmtId="3" fontId="5" fillId="6" borderId="1" applyAlignment="1" pivotButton="0" quotePrefix="0" xfId="0">
      <alignment horizontal="center" vertical="center" wrapText="1"/>
    </xf>
    <xf numFmtId="3" fontId="7" fillId="0" borderId="1" applyAlignment="1" pivotButton="0" quotePrefix="1" xfId="0">
      <alignment horizontal="center" vertical="center" wrapText="1"/>
    </xf>
    <xf numFmtId="0" fontId="6" fillId="0" borderId="1" applyAlignment="1" pivotButton="0" quotePrefix="0" xfId="2">
      <alignment vertical="center" wrapText="1"/>
    </xf>
    <xf numFmtId="0" fontId="7" fillId="0" borderId="1" applyAlignment="1" pivotButton="0" quotePrefix="0" xfId="39">
      <alignment horizontal="left" vertical="center" wrapText="1"/>
    </xf>
    <xf numFmtId="0" fontId="7" fillId="0" borderId="1" applyAlignment="1" pivotButton="0" quotePrefix="1" xfId="0">
      <alignment horizontal="center" vertical="center" wrapText="1"/>
    </xf>
    <xf numFmtId="0" fontId="7" fillId="0" borderId="1" applyAlignment="1" pivotButton="0" quotePrefix="0" xfId="30">
      <alignment vertical="center" wrapText="1"/>
    </xf>
    <xf numFmtId="0" fontId="6" fillId="0" borderId="1" applyAlignment="1" pivotButton="0" quotePrefix="1" xfId="0">
      <alignment horizontal="center" vertical="center" wrapText="1"/>
    </xf>
    <xf numFmtId="0" fontId="7" fillId="6" borderId="1" applyAlignment="1" pivotButton="0" quotePrefix="1" xfId="0">
      <alignment horizontal="center" vertical="center" wrapText="1"/>
    </xf>
    <xf numFmtId="0" fontId="7" fillId="0" borderId="1" applyAlignment="1" pivotButton="0" quotePrefix="0" xfId="39">
      <alignment vertical="center" wrapText="1"/>
    </xf>
    <xf numFmtId="0" fontId="7" fillId="0" borderId="1" applyAlignment="1" pivotButton="0" quotePrefix="0" xfId="40">
      <alignment horizontal="left" vertical="center" wrapText="1"/>
    </xf>
    <xf numFmtId="0" fontId="65" fillId="0" borderId="1" applyAlignment="1" pivotButton="0" quotePrefix="0" xfId="0">
      <alignment horizontal="left" vertical="center" wrapText="1"/>
    </xf>
    <xf numFmtId="0" fontId="7" fillId="0" borderId="1" applyAlignment="1" pivotButton="0" quotePrefix="0" xfId="0">
      <alignment vertical="center" wrapText="1"/>
    </xf>
    <xf numFmtId="0" fontId="6" fillId="0" borderId="1" applyAlignment="1" pivotButton="0" quotePrefix="0" xfId="0">
      <alignment horizontal="center" vertical="center"/>
    </xf>
    <xf numFmtId="0" fontId="10" fillId="0" borderId="1" applyAlignment="1" pivotButton="0" quotePrefix="0" xfId="0">
      <alignment horizontal="center" vertical="center"/>
    </xf>
    <xf numFmtId="0" fontId="5" fillId="0" borderId="1" applyAlignment="1" pivotButton="0" quotePrefix="0" xfId="0">
      <alignment vertical="center" wrapText="1"/>
    </xf>
    <xf numFmtId="0" fontId="7" fillId="0" borderId="1" applyAlignment="1" pivotButton="0" quotePrefix="1" xfId="39">
      <alignment horizontal="center" vertical="center" wrapText="1"/>
    </xf>
    <xf numFmtId="1" fontId="7" fillId="6" borderId="1" applyAlignment="1" pivotButton="0" quotePrefix="0" xfId="0">
      <alignment horizontal="center" vertical="center" wrapText="1"/>
    </xf>
    <xf numFmtId="3" fontId="6" fillId="0" borderId="1" applyAlignment="1" pivotButton="0" quotePrefix="1" xfId="0">
      <alignment horizontal="center" vertical="center" wrapText="1"/>
    </xf>
    <xf numFmtId="3" fontId="6" fillId="0" borderId="1" applyAlignment="1" pivotButton="0" quotePrefix="0" xfId="0">
      <alignment horizontal="center" vertical="center" wrapText="1"/>
    </xf>
    <xf numFmtId="0" fontId="7" fillId="0" borderId="1" applyAlignment="1" pivotButton="0" quotePrefix="0" xfId="16">
      <alignment horizontal="left" vertical="center" wrapText="1"/>
    </xf>
    <xf numFmtId="3" fontId="6" fillId="0" borderId="1" applyAlignment="1" pivotButton="0" quotePrefix="0" xfId="0">
      <alignment vertical="center"/>
    </xf>
    <xf numFmtId="0" fontId="7" fillId="0" borderId="1" applyAlignment="1" pivotButton="0" quotePrefix="0" xfId="16">
      <alignment vertical="center" wrapText="1"/>
    </xf>
    <xf numFmtId="0" fontId="6" fillId="0" borderId="1" applyAlignment="1" pivotButton="0" quotePrefix="0" xfId="16">
      <alignment horizontal="left" vertical="center" wrapText="1"/>
    </xf>
    <xf numFmtId="0" fontId="16" fillId="0" borderId="1" applyAlignment="1" pivotButton="0" quotePrefix="0" xfId="4">
      <alignment horizontal="center" vertical="center" wrapText="1"/>
    </xf>
    <xf numFmtId="0" fontId="16" fillId="0" borderId="1" applyAlignment="1" pivotButton="0" quotePrefix="0" xfId="4">
      <alignment vertical="center" wrapText="1"/>
    </xf>
    <xf numFmtId="0" fontId="7" fillId="0" borderId="1" applyAlignment="1" pivotButton="0" quotePrefix="1" xfId="22">
      <alignment horizontal="center" vertical="center" wrapText="1"/>
    </xf>
    <xf numFmtId="0" fontId="43" fillId="0" borderId="3" applyAlignment="1" pivotButton="0" quotePrefix="0" xfId="0">
      <alignment horizontal="center" vertical="center" wrapText="1"/>
    </xf>
    <xf numFmtId="0" fontId="42" fillId="0" borderId="0" applyAlignment="1" pivotButton="0" quotePrefix="0" xfId="2">
      <alignment horizontal="center" vertical="center" wrapText="1"/>
    </xf>
    <xf numFmtId="0" fontId="10" fillId="0" borderId="1" applyAlignment="1" pivotButton="0" quotePrefix="0" xfId="41">
      <alignment horizontal="center" vertical="center" wrapText="1"/>
    </xf>
    <xf numFmtId="0" fontId="10" fillId="0" borderId="1" applyAlignment="1" pivotButton="0" quotePrefix="0" xfId="41">
      <alignment horizontal="left" vertical="center" wrapText="1"/>
    </xf>
    <xf numFmtId="0" fontId="10" fillId="0" borderId="1" applyAlignment="1" pivotButton="0" quotePrefix="1" xfId="41">
      <alignment horizontal="center" vertical="center" wrapText="1"/>
    </xf>
    <xf numFmtId="0" fontId="10" fillId="6" borderId="1" applyAlignment="1" pivotButton="0" quotePrefix="0" xfId="41">
      <alignment horizontal="center" vertical="center" wrapText="1"/>
    </xf>
    <xf numFmtId="0" fontId="10" fillId="6" borderId="1" applyAlignment="1" pivotButton="0" quotePrefix="0" xfId="41">
      <alignment horizontal="left" vertical="center" wrapText="1"/>
    </xf>
    <xf numFmtId="0" fontId="10" fillId="0" borderId="1" applyAlignment="1" pivotButton="0" quotePrefix="0" xfId="14">
      <alignment horizontal="center" vertical="center" wrapText="1"/>
    </xf>
    <xf numFmtId="3" fontId="10" fillId="0" borderId="1" applyAlignment="1" pivotButton="0" quotePrefix="0" xfId="41">
      <alignment horizontal="center" vertical="center" wrapText="1"/>
    </xf>
    <xf numFmtId="166" fontId="10" fillId="0" borderId="1" applyAlignment="1" pivotButton="0" quotePrefix="0" xfId="41">
      <alignment horizontal="center" vertical="center" wrapText="1"/>
    </xf>
    <xf numFmtId="0" fontId="9" fillId="6" borderId="1" applyAlignment="1" pivotButton="0" quotePrefix="0" xfId="41">
      <alignment horizontal="left" vertical="center" wrapText="1"/>
    </xf>
    <xf numFmtId="0" fontId="9" fillId="6" borderId="1" applyAlignment="1" pivotButton="0" quotePrefix="0" xfId="41">
      <alignment horizontal="center" vertical="center" wrapText="1"/>
    </xf>
    <xf numFmtId="0" fontId="9" fillId="6" borderId="1" applyAlignment="1" pivotButton="0" quotePrefix="0" xfId="41">
      <alignment horizontal="center" vertical="center"/>
    </xf>
    <xf numFmtId="0" fontId="9" fillId="6" borderId="1" applyAlignment="1" pivotButton="0" quotePrefix="0" xfId="41">
      <alignment vertical="center" wrapText="1"/>
    </xf>
    <xf numFmtId="0" fontId="38" fillId="6" borderId="1" applyAlignment="1" pivotButton="0" quotePrefix="0" xfId="0">
      <alignment vertical="center" wrapText="1"/>
    </xf>
    <xf numFmtId="0" fontId="38" fillId="6" borderId="1" applyAlignment="1" pivotButton="0" quotePrefix="0" xfId="0">
      <alignment horizontal="center" vertical="center" wrapText="1"/>
    </xf>
    <xf numFmtId="165" fontId="9" fillId="0" borderId="1" applyAlignment="1" pivotButton="0" quotePrefix="0" xfId="1">
      <alignment vertical="center" wrapText="1"/>
    </xf>
    <xf numFmtId="164" fontId="9" fillId="0" borderId="1" applyAlignment="1" pivotButton="0" quotePrefix="0" xfId="8">
      <alignment horizontal="right" vertical="center" wrapText="1"/>
    </xf>
    <xf numFmtId="165" fontId="9" fillId="0" borderId="1" applyAlignment="1" pivotButton="0" quotePrefix="0" xfId="1">
      <alignment horizontal="right" vertical="center" wrapText="1"/>
    </xf>
    <xf numFmtId="0" fontId="67" fillId="0" borderId="1" applyAlignment="1" pivotButton="0" quotePrefix="0" xfId="0">
      <alignment vertical="center"/>
    </xf>
    <xf numFmtId="0" fontId="9" fillId="0" borderId="1" applyAlignment="1" pivotButton="0" quotePrefix="0" xfId="23">
      <alignment horizontal="center" vertical="center" wrapText="1"/>
    </xf>
    <xf numFmtId="0" fontId="9" fillId="0" borderId="1" applyAlignment="1" pivotButton="0" quotePrefix="0" xfId="23">
      <alignment vertical="center" wrapText="1"/>
    </xf>
    <xf numFmtId="0" fontId="38" fillId="0" borderId="1" applyAlignment="1" pivotButton="0" quotePrefix="0" xfId="23">
      <alignment horizontal="center" vertical="center" wrapText="1"/>
    </xf>
    <xf numFmtId="0" fontId="9" fillId="0" borderId="1" applyAlignment="1" pivotButton="0" quotePrefix="0" xfId="0">
      <alignment horizontal="left" vertical="center" wrapText="1"/>
    </xf>
    <xf numFmtId="0" fontId="9" fillId="0" borderId="1" applyAlignment="1" pivotButton="0" quotePrefix="0" xfId="4">
      <alignment vertical="center" wrapText="1"/>
    </xf>
    <xf numFmtId="164" fontId="10" fillId="0" borderId="1" applyAlignment="1" pivotButton="0" quotePrefix="0" xfId="8">
      <alignment horizontal="right" vertical="center" wrapText="1"/>
    </xf>
    <xf numFmtId="0" fontId="6" fillId="0" borderId="1" applyAlignment="1" pivotButton="0" quotePrefix="0" xfId="35">
      <alignment vertical="center" wrapText="1"/>
    </xf>
    <xf numFmtId="0" fontId="6" fillId="0" borderId="1" applyAlignment="1" pivotButton="0" quotePrefix="0" xfId="35">
      <alignment horizontal="center" vertical="center" wrapText="1"/>
    </xf>
    <xf numFmtId="0" fontId="6" fillId="0" borderId="1" applyAlignment="1" pivotButton="0" quotePrefix="0" xfId="41">
      <alignment horizontal="center" vertical="center" wrapText="1"/>
    </xf>
    <xf numFmtId="165" fontId="6" fillId="0" borderId="1" applyAlignment="1" pivotButton="0" quotePrefix="0" xfId="29">
      <alignment horizontal="center" vertical="center" wrapText="1"/>
    </xf>
    <xf numFmtId="0" fontId="7" fillId="0" borderId="1" applyAlignment="1" pivotButton="0" quotePrefix="0" xfId="41">
      <alignment horizontal="center" vertical="center" wrapText="1"/>
    </xf>
    <xf numFmtId="3" fontId="6" fillId="0" borderId="1" applyAlignment="1" pivotButton="0" quotePrefix="0" xfId="29">
      <alignment horizontal="right" vertical="center" wrapText="1"/>
    </xf>
    <xf numFmtId="164" fontId="6" fillId="0" borderId="1" applyAlignment="1" pivotButton="0" quotePrefix="0" xfId="30">
      <alignment horizontal="center" vertical="center" wrapText="1"/>
    </xf>
    <xf numFmtId="0" fontId="45" fillId="0" borderId="4" applyAlignment="1" pivotButton="0" quotePrefix="0" xfId="0">
      <alignment vertical="center" wrapText="1"/>
    </xf>
    <xf numFmtId="0" fontId="42" fillId="0" borderId="4" applyAlignment="1" pivotButton="0" quotePrefix="0" xfId="0">
      <alignment horizontal="center" vertical="center" wrapText="1"/>
    </xf>
    <xf numFmtId="0" fontId="45" fillId="0" borderId="4" applyAlignment="1" pivotButton="0" quotePrefix="0" xfId="0">
      <alignment horizontal="center" vertical="center" wrapText="1"/>
    </xf>
    <xf numFmtId="165" fontId="9" fillId="0" borderId="5" applyAlignment="1" pivotButton="0" quotePrefix="0" xfId="1">
      <alignment vertical="center"/>
    </xf>
    <xf numFmtId="0" fontId="6" fillId="0" borderId="1" applyAlignment="1" pivotButton="0" quotePrefix="0" xfId="14">
      <alignment horizontal="center" vertical="center" wrapText="1"/>
    </xf>
    <xf numFmtId="165" fontId="10" fillId="0" borderId="1" applyAlignment="1" pivotButton="0" quotePrefix="0" xfId="1">
      <alignment horizontal="center" vertical="center"/>
    </xf>
    <xf numFmtId="165" fontId="10" fillId="0" borderId="1" applyAlignment="1" pivotButton="0" quotePrefix="0" xfId="1">
      <alignment vertical="center"/>
    </xf>
    <xf numFmtId="165" fontId="7" fillId="0" borderId="1" applyAlignment="1" pivotButton="0" quotePrefix="0" xfId="0">
      <alignment horizontal="center" vertical="center" wrapText="1"/>
    </xf>
    <xf numFmtId="0" fontId="6" fillId="0" borderId="6" applyAlignment="1" pivotButton="0" quotePrefix="0" xfId="0">
      <alignment horizontal="center" vertical="center" wrapText="1"/>
    </xf>
    <xf numFmtId="0" fontId="44" fillId="0" borderId="6" applyAlignment="1" pivotButton="0" quotePrefix="0" xfId="0">
      <alignment horizontal="center" vertical="center"/>
    </xf>
    <xf numFmtId="3" fontId="7" fillId="0" borderId="6" applyAlignment="1" pivotButton="0" quotePrefix="0" xfId="0">
      <alignment horizontal="right" vertical="center" wrapText="1"/>
    </xf>
    <xf numFmtId="0" fontId="7" fillId="0" borderId="6" applyAlignment="1" pivotButton="0" quotePrefix="0" xfId="0">
      <alignment horizontal="center" vertical="center" wrapText="1"/>
    </xf>
    <xf numFmtId="0" fontId="7" fillId="8" borderId="17" applyAlignment="1" pivotButton="0" quotePrefix="0" xfId="0">
      <alignment horizontal="left" vertical="center" wrapText="1"/>
    </xf>
    <xf numFmtId="0" fontId="4" fillId="0" borderId="17" applyAlignment="1" pivotButton="0" quotePrefix="0" xfId="0">
      <alignment horizontal="center" vertical="center" wrapText="1"/>
    </xf>
    <xf numFmtId="0" fontId="4" fillId="0" borderId="17" applyAlignment="1" pivotButton="0" quotePrefix="0" xfId="0">
      <alignment vertical="center" wrapText="1"/>
    </xf>
    <xf numFmtId="0" fontId="7" fillId="8" borderId="17" applyAlignment="1" pivotButton="0" quotePrefix="0" xfId="0">
      <alignment horizontal="center" vertical="center" wrapText="1"/>
    </xf>
    <xf numFmtId="3" fontId="6" fillId="8" borderId="17" applyAlignment="1" pivotButton="0" quotePrefix="0" xfId="0">
      <alignment horizontal="center" vertical="center" wrapText="1"/>
    </xf>
    <xf numFmtId="0" fontId="7" fillId="6" borderId="17" applyAlignment="1" pivotButton="0" quotePrefix="0" xfId="0">
      <alignment horizontal="center" vertical="center" wrapText="1"/>
    </xf>
    <xf numFmtId="165" fontId="6" fillId="0" borderId="17" applyAlignment="1" pivotButton="0" quotePrefix="0" xfId="1">
      <alignment vertical="center"/>
    </xf>
    <xf numFmtId="3" fontId="7" fillId="0" borderId="17" applyAlignment="1" pivotButton="0" quotePrefix="0" xfId="0">
      <alignment horizontal="right" vertical="center" wrapText="1"/>
    </xf>
    <xf numFmtId="3" fontId="7" fillId="6" borderId="17" applyAlignment="1" pivotButton="0" quotePrefix="0" xfId="0">
      <alignment horizontal="center" vertical="center" wrapText="1"/>
    </xf>
    <xf numFmtId="0" fontId="7" fillId="0" borderId="17" applyAlignment="1" pivotButton="0" quotePrefix="0" xfId="0">
      <alignment horizontal="center" vertical="center" wrapText="1"/>
    </xf>
    <xf numFmtId="3" fontId="7" fillId="0" borderId="1" applyAlignment="1" pivotButton="0" quotePrefix="0" xfId="0">
      <alignment vertical="center"/>
    </xf>
    <xf numFmtId="0" fontId="7" fillId="0" borderId="1" applyAlignment="1" pivotButton="0" quotePrefix="0" xfId="14">
      <alignment vertical="center" wrapText="1"/>
    </xf>
    <xf numFmtId="0" fontId="7" fillId="0" borderId="1" applyAlignment="1" pivotButton="0" quotePrefix="1" xfId="41">
      <alignment horizontal="center" vertical="center" wrapText="1"/>
    </xf>
    <xf numFmtId="0" fontId="7" fillId="6" borderId="1" applyAlignment="1" pivotButton="0" quotePrefix="0" xfId="41">
      <alignment horizontal="center" vertical="center" wrapText="1"/>
    </xf>
    <xf numFmtId="0" fontId="7" fillId="6" borderId="1" applyAlignment="1" pivotButton="0" quotePrefix="0" xfId="41">
      <alignment horizontal="left" vertical="center" wrapText="1"/>
    </xf>
    <xf numFmtId="0" fontId="7" fillId="0" borderId="1" applyAlignment="1" pivotButton="0" quotePrefix="0" xfId="14">
      <alignment horizontal="center" vertical="center" wrapText="1"/>
    </xf>
    <xf numFmtId="0" fontId="7" fillId="6" borderId="1" applyAlignment="1" pivotButton="0" quotePrefix="0" xfId="14">
      <alignment horizontal="center" vertical="center" wrapText="1"/>
    </xf>
    <xf numFmtId="165" fontId="6" fillId="0" borderId="1" applyAlignment="1" pivotButton="0" quotePrefix="0" xfId="1">
      <alignment vertical="center"/>
    </xf>
    <xf numFmtId="0" fontId="7" fillId="0" borderId="17" applyAlignment="1" pivotButton="0" quotePrefix="0" xfId="0">
      <alignment horizontal="left" vertical="center" wrapText="1"/>
    </xf>
    <xf numFmtId="3" fontId="6" fillId="0" borderId="17" applyAlignment="1" pivotButton="0" quotePrefix="0" xfId="0">
      <alignment horizontal="center" vertical="center" wrapText="1"/>
    </xf>
    <xf numFmtId="3" fontId="7" fillId="0" borderId="19" applyAlignment="1" pivotButton="0" quotePrefix="0" xfId="0">
      <alignment horizontal="right" vertical="center" wrapText="1"/>
    </xf>
    <xf numFmtId="0" fontId="4" fillId="0" borderId="19" applyAlignment="1" pivotButton="0" quotePrefix="0" xfId="0">
      <alignment vertical="center" wrapText="1"/>
    </xf>
    <xf numFmtId="0" fontId="7" fillId="0" borderId="19" applyAlignment="1" pivotButton="0" quotePrefix="0" xfId="0">
      <alignment horizontal="center" vertical="center" wrapText="1"/>
    </xf>
    <xf numFmtId="3" fontId="7" fillId="0" borderId="1" applyAlignment="1" pivotButton="0" quotePrefix="0" xfId="0">
      <alignment horizontal="right" vertical="center" wrapText="1"/>
    </xf>
    <xf numFmtId="165" fontId="4" fillId="0" borderId="1" applyAlignment="1" applyProtection="1" pivotButton="0" quotePrefix="0" xfId="29">
      <alignment vertical="center" wrapText="1"/>
      <protection locked="0" hidden="0"/>
    </xf>
    <xf numFmtId="0" fontId="0" fillId="0" borderId="1" pivotButton="0" quotePrefix="0" xfId="0"/>
    <xf numFmtId="0" fontId="9" fillId="0" borderId="1" applyAlignment="1" pivotButton="0" quotePrefix="0" xfId="41">
      <alignment horizontal="left" vertical="center" wrapText="1"/>
    </xf>
    <xf numFmtId="0" fontId="9" fillId="0" borderId="1" applyAlignment="1" pivotButton="0" quotePrefix="0" xfId="41">
      <alignment horizontal="center" vertical="center" wrapText="1"/>
    </xf>
    <xf numFmtId="49" fontId="9" fillId="0" borderId="1" applyAlignment="1" pivotButton="0" quotePrefix="0" xfId="41">
      <alignment vertical="center" wrapText="1"/>
    </xf>
    <xf numFmtId="0" fontId="9" fillId="0" borderId="1" applyAlignment="1" pivotButton="0" quotePrefix="0" xfId="4">
      <alignment horizontal="center" vertical="center" wrapText="1"/>
    </xf>
    <xf numFmtId="0" fontId="4" fillId="0" borderId="1" applyAlignment="1" pivotButton="0" quotePrefix="0" xfId="4">
      <alignment vertical="center" wrapText="1"/>
    </xf>
    <xf numFmtId="0" fontId="5" fillId="0" borderId="6" applyAlignment="1" pivotButton="0" quotePrefix="0" xfId="17">
      <alignment vertical="center" wrapText="1"/>
    </xf>
    <xf numFmtId="0" fontId="6" fillId="0" borderId="1" applyAlignment="1" pivotButton="0" quotePrefix="0" xfId="17">
      <alignment vertical="center" wrapText="1"/>
    </xf>
    <xf numFmtId="3" fontId="10" fillId="0" borderId="1" applyAlignment="1" pivotButton="0" quotePrefix="0" xfId="34">
      <alignment vertical="center" wrapText="1"/>
    </xf>
    <xf numFmtId="0" fontId="5" fillId="0" borderId="1" applyAlignment="1" pivotButton="0" quotePrefix="0" xfId="2">
      <alignment vertical="center" wrapText="1"/>
    </xf>
    <xf numFmtId="0" fontId="7" fillId="0" borderId="1" applyAlignment="1" pivotButton="0" quotePrefix="0" xfId="2">
      <alignment horizontal="left" vertical="center" wrapText="1"/>
    </xf>
    <xf numFmtId="0" fontId="34" fillId="0" borderId="1" applyAlignment="1" pivotButton="0" quotePrefix="0" xfId="2">
      <alignment horizontal="center" vertical="center" wrapText="1"/>
    </xf>
    <xf numFmtId="0" fontId="10" fillId="0" borderId="6" applyAlignment="1" pivotButton="0" quotePrefix="0" xfId="0">
      <alignment vertical="center" wrapText="1"/>
    </xf>
    <xf numFmtId="3" fontId="10" fillId="0" borderId="1" applyAlignment="1" pivotButton="0" quotePrefix="0" xfId="0">
      <alignment horizontal="right" vertical="center" wrapText="1"/>
    </xf>
    <xf numFmtId="164" fontId="10" fillId="0" borderId="1" applyAlignment="1" pivotButton="0" quotePrefix="0" xfId="0">
      <alignment horizontal="right" vertical="center" wrapText="1"/>
    </xf>
    <xf numFmtId="0" fontId="10" fillId="0" borderId="6" applyAlignment="1" pivotButton="0" quotePrefix="0" xfId="17">
      <alignment horizontal="left" vertical="center" wrapText="1"/>
    </xf>
    <xf numFmtId="0" fontId="10" fillId="0" borderId="3" applyAlignment="1" pivotButton="0" quotePrefix="0" xfId="17">
      <alignment horizontal="center" vertical="center" wrapText="1"/>
    </xf>
    <xf numFmtId="0" fontId="10" fillId="0" borderId="1" applyAlignment="1" pivotButton="0" quotePrefix="0" xfId="17">
      <alignment vertical="center" wrapText="1"/>
    </xf>
    <xf numFmtId="164" fontId="10" fillId="0" borderId="1" applyAlignment="1" pivotButton="0" quotePrefix="0" xfId="6">
      <alignment horizontal="right" vertical="center" wrapText="1"/>
    </xf>
    <xf numFmtId="0" fontId="10" fillId="0" borderId="1" applyAlignment="1" pivotButton="0" quotePrefix="0" xfId="17">
      <alignment horizontal="left" vertical="center" wrapText="1"/>
    </xf>
    <xf numFmtId="0" fontId="10" fillId="0" borderId="1" applyAlignment="1" pivotButton="0" quotePrefix="0" xfId="43">
      <alignment horizontal="center" vertical="center" wrapText="1"/>
    </xf>
    <xf numFmtId="0" fontId="10" fillId="0" borderId="6" applyAlignment="1" pivotButton="0" quotePrefix="0" xfId="17">
      <alignment vertical="center" wrapText="1"/>
    </xf>
    <xf numFmtId="0" fontId="10" fillId="0" borderId="5" applyAlignment="1" pivotButton="0" quotePrefix="0" xfId="17">
      <alignment horizontal="center" vertical="center" wrapText="1"/>
    </xf>
    <xf numFmtId="0" fontId="10" fillId="0" borderId="1" applyAlignment="1" pivotButton="0" quotePrefix="0" xfId="33">
      <alignment horizontal="center" vertical="center" wrapText="1"/>
    </xf>
    <xf numFmtId="165" fontId="10" fillId="0" borderId="1" applyAlignment="1" pivotButton="0" quotePrefix="0" xfId="45">
      <alignment horizontal="right" vertical="center" wrapText="1"/>
    </xf>
    <xf numFmtId="9" fontId="10" fillId="0" borderId="1" applyAlignment="1" pivotButton="0" quotePrefix="0" xfId="17">
      <alignment vertical="center" wrapText="1"/>
    </xf>
    <xf numFmtId="0" fontId="56" fillId="0" borderId="6" applyAlignment="1" pivotButton="0" quotePrefix="0" xfId="17">
      <alignment vertical="center" wrapText="1"/>
    </xf>
    <xf numFmtId="0" fontId="56" fillId="0" borderId="1" applyAlignment="1" pivotButton="0" quotePrefix="0" xfId="17">
      <alignment horizontal="center" vertical="center" wrapText="1"/>
    </xf>
    <xf numFmtId="0" fontId="56" fillId="0" borderId="1" applyAlignment="1" pivotButton="0" quotePrefix="0" xfId="11">
      <alignment horizontal="center" vertical="center" wrapText="1"/>
    </xf>
    <xf numFmtId="0" fontId="56" fillId="0" borderId="1" applyAlignment="1" pivotButton="0" quotePrefix="0" xfId="17">
      <alignment horizontal="left" vertical="center" wrapText="1"/>
    </xf>
    <xf numFmtId="0" fontId="56" fillId="0" borderId="5" applyAlignment="1" pivotButton="0" quotePrefix="0" xfId="17">
      <alignment horizontal="center" vertical="center" wrapText="1"/>
    </xf>
    <xf numFmtId="164" fontId="56" fillId="0" borderId="1" applyAlignment="1" pivotButton="0" quotePrefix="0" xfId="45">
      <alignment horizontal="right" vertical="center" wrapText="1"/>
    </xf>
    <xf numFmtId="164" fontId="56" fillId="0" borderId="1" applyAlignment="1" pivotButton="0" quotePrefix="0" xfId="0">
      <alignment horizontal="right" vertical="center" wrapText="1"/>
    </xf>
    <xf numFmtId="3" fontId="56" fillId="0" borderId="1" applyAlignment="1" pivotButton="0" quotePrefix="0" xfId="0">
      <alignment horizontal="center" vertical="center" wrapText="1"/>
    </xf>
    <xf numFmtId="0" fontId="5" fillId="0" borderId="0" applyAlignment="1" pivotButton="0" quotePrefix="0" xfId="0">
      <alignment vertical="center" wrapText="1"/>
    </xf>
    <xf numFmtId="0" fontId="70" fillId="0" borderId="1" applyAlignment="1" pivotButton="0" quotePrefix="0" xfId="0">
      <alignment horizontal="center" vertical="center" wrapText="1"/>
    </xf>
    <xf numFmtId="0" fontId="5" fillId="0" borderId="1" applyAlignment="1" pivotButton="0" quotePrefix="0" xfId="0">
      <alignment vertical="center"/>
    </xf>
    <xf numFmtId="0" fontId="5" fillId="6" borderId="1" applyAlignment="1" pivotButton="0" quotePrefix="0" xfId="0">
      <alignment horizontal="center" vertical="center" wrapText="1"/>
    </xf>
    <xf numFmtId="0" fontId="56" fillId="0" borderId="1" applyAlignment="1" pivotButton="0" quotePrefix="0" xfId="0">
      <alignment vertical="center"/>
    </xf>
    <xf numFmtId="164" fontId="5" fillId="0" borderId="1" applyAlignment="1" pivotButton="0" quotePrefix="0" xfId="29">
      <alignment vertical="center"/>
    </xf>
    <xf numFmtId="0" fontId="5" fillId="6" borderId="1" applyAlignment="1" pivotButton="0" quotePrefix="0" xfId="0">
      <alignment horizontal="left" vertical="center" wrapText="1"/>
    </xf>
    <xf numFmtId="0" fontId="5" fillId="0" borderId="1" applyAlignment="1" pivotButton="0" quotePrefix="0" xfId="0">
      <alignment horizontal="left" vertical="center" wrapText="1"/>
    </xf>
    <xf numFmtId="0" fontId="71" fillId="0" borderId="0" applyAlignment="1" pivotButton="0" quotePrefix="0" xfId="0">
      <alignment vertical="center"/>
    </xf>
    <xf numFmtId="0" fontId="6" fillId="6" borderId="1" applyAlignment="1" pivotButton="0" quotePrefix="1" xfId="0">
      <alignment horizontal="center" vertical="center" wrapText="1"/>
    </xf>
    <xf numFmtId="0" fontId="6" fillId="8" borderId="1" applyAlignment="1" pivotButton="0" quotePrefix="0" xfId="0">
      <alignment horizontal="center" vertical="center" wrapText="1"/>
    </xf>
    <xf numFmtId="0" fontId="6" fillId="8" borderId="1" applyAlignment="1" pivotButton="0" quotePrefix="0" xfId="0">
      <alignment horizontal="left" vertical="center" wrapText="1"/>
    </xf>
    <xf numFmtId="0" fontId="9" fillId="6" borderId="1" applyAlignment="1" pivotButton="0" quotePrefix="0" xfId="44">
      <alignment horizontal="center" vertical="center" wrapText="1"/>
    </xf>
    <xf numFmtId="3" fontId="9" fillId="6" borderId="1" applyAlignment="1" pivotButton="0" quotePrefix="0" xfId="0">
      <alignment horizontal="center" vertical="center" wrapText="1"/>
    </xf>
    <xf numFmtId="3" fontId="6" fillId="6" borderId="1" applyAlignment="1" pivotButton="0" quotePrefix="0" xfId="0">
      <alignment horizontal="center" vertical="center" wrapText="1"/>
    </xf>
    <xf numFmtId="0" fontId="6" fillId="0" borderId="1" applyAlignment="1" pivotButton="0" quotePrefix="0" xfId="39">
      <alignment horizontal="center" vertical="center" wrapText="1"/>
    </xf>
    <xf numFmtId="0" fontId="6" fillId="0" borderId="1" applyAlignment="1" pivotButton="0" quotePrefix="0" xfId="38">
      <alignment horizontal="left" vertical="center" wrapText="1"/>
    </xf>
    <xf numFmtId="0" fontId="72" fillId="0" borderId="1" applyAlignment="1" pivotButton="0" quotePrefix="0" xfId="0">
      <alignment horizontal="center" vertical="center" wrapText="1"/>
    </xf>
    <xf numFmtId="3" fontId="73" fillId="6" borderId="1" applyAlignment="1" pivotButton="0" quotePrefix="0" xfId="0">
      <alignment horizontal="center" vertical="center" wrapText="1"/>
    </xf>
    <xf numFmtId="0" fontId="74" fillId="0" borderId="1" applyAlignment="1" pivotButton="0" quotePrefix="0" xfId="0">
      <alignment horizontal="center" vertical="center" wrapText="1"/>
    </xf>
    <xf numFmtId="0" fontId="35" fillId="6" borderId="1" applyAlignment="1" pivotButton="0" quotePrefix="1" xfId="0">
      <alignment horizontal="center" vertical="center" wrapText="1"/>
    </xf>
    <xf numFmtId="0" fontId="35" fillId="8" borderId="1" applyAlignment="1" pivotButton="0" quotePrefix="0" xfId="0">
      <alignment horizontal="center" vertical="center" wrapText="1"/>
    </xf>
    <xf numFmtId="0" fontId="35" fillId="6" borderId="1" applyAlignment="1" pivotButton="0" quotePrefix="0" xfId="0">
      <alignment horizontal="center" vertical="center" wrapText="1"/>
    </xf>
    <xf numFmtId="0" fontId="35" fillId="0" borderId="1" applyAlignment="1" pivotButton="0" quotePrefix="0" xfId="39">
      <alignment horizontal="center" vertical="center" wrapText="1"/>
    </xf>
    <xf numFmtId="0" fontId="35" fillId="0" borderId="1" applyAlignment="1" pivotButton="0" quotePrefix="0" xfId="38">
      <alignment horizontal="left" vertical="center" wrapText="1"/>
    </xf>
    <xf numFmtId="3" fontId="35" fillId="6" borderId="1" applyAlignment="1" pivotButton="0" quotePrefix="0" xfId="0">
      <alignment horizontal="center" vertical="center" wrapText="1"/>
    </xf>
    <xf numFmtId="0" fontId="35" fillId="0" borderId="1" applyAlignment="1" pivotButton="0" quotePrefix="0" xfId="0">
      <alignment vertical="center" wrapText="1"/>
    </xf>
    <xf numFmtId="0" fontId="29" fillId="0" borderId="1" applyAlignment="1" pivotButton="0" quotePrefix="0" xfId="44">
      <alignment horizontal="center" vertical="center" wrapText="1"/>
    </xf>
    <xf numFmtId="164" fontId="10" fillId="0" borderId="1" applyAlignment="1" pivotButton="0" quotePrefix="0" xfId="44">
      <alignment horizontal="center" vertical="center" wrapText="1"/>
    </xf>
    <xf numFmtId="0" fontId="30" fillId="0" borderId="1" applyAlignment="1" pivotButton="0" quotePrefix="0" xfId="0">
      <alignment horizontal="center" wrapText="1"/>
    </xf>
    <xf numFmtId="3" fontId="75" fillId="0" borderId="0" applyAlignment="1" pivotButton="0" quotePrefix="0" xfId="0">
      <alignment vertical="center"/>
    </xf>
    <xf numFmtId="0" fontId="31" fillId="0" borderId="1" applyAlignment="1" pivotButton="0" quotePrefix="0" xfId="44">
      <alignment vertical="center" wrapText="1"/>
    </xf>
    <xf numFmtId="0" fontId="31" fillId="0" borderId="1" applyAlignment="1" pivotButton="0" quotePrefix="0" xfId="44">
      <alignment horizontal="center" vertical="center" wrapText="1"/>
    </xf>
    <xf numFmtId="0" fontId="76"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1" applyAlignment="1" pivotButton="0" quotePrefix="0" xfId="41">
      <alignment vertical="center" wrapText="1"/>
    </xf>
    <xf numFmtId="0" fontId="60" fillId="0" borderId="1" applyAlignment="1" pivotButton="0" quotePrefix="0" xfId="17">
      <alignment horizontal="center" vertical="center" wrapText="1"/>
    </xf>
    <xf numFmtId="0" fontId="31" fillId="0" borderId="1" applyAlignment="1" pivotButton="0" quotePrefix="0" xfId="14">
      <alignment horizontal="center" vertical="center" wrapText="1"/>
    </xf>
    <xf numFmtId="0" fontId="31" fillId="0" borderId="17" applyAlignment="1" pivotButton="0" quotePrefix="0" xfId="17">
      <alignment horizontal="center" vertical="center" wrapText="1"/>
    </xf>
    <xf numFmtId="0" fontId="3" fillId="0" borderId="3" applyAlignment="1" pivotButton="0" quotePrefix="0" xfId="0">
      <alignment horizontal="center" vertical="center"/>
    </xf>
    <xf numFmtId="0" fontId="11" fillId="0" borderId="1" applyAlignment="1" pivotButton="0" quotePrefix="0" xfId="0">
      <alignment horizontal="center" vertical="center"/>
    </xf>
    <xf numFmtId="164" fontId="9" fillId="0" borderId="1" applyAlignment="1" pivotButton="0" quotePrefix="0" xfId="0">
      <alignment vertical="center"/>
    </xf>
    <xf numFmtId="0" fontId="11" fillId="0" borderId="1" applyAlignment="1" pivotButton="0" quotePrefix="0" xfId="0">
      <alignment horizontal="center" vertical="center" wrapText="1"/>
    </xf>
    <xf numFmtId="167" fontId="5" fillId="0" borderId="1" applyAlignment="1" applyProtection="1" pivotButton="0" quotePrefix="0" xfId="0">
      <alignment vertical="center"/>
      <protection locked="0" hidden="0"/>
    </xf>
    <xf numFmtId="3" fontId="60" fillId="6" borderId="1" applyAlignment="1" pivotButton="0" quotePrefix="0" xfId="0">
      <alignment horizontal="center" vertical="center" wrapText="1"/>
    </xf>
    <xf numFmtId="0" fontId="58" fillId="0" borderId="1" applyAlignment="1" pivotButton="0" quotePrefix="0" xfId="2">
      <alignment vertical="center" wrapText="1"/>
    </xf>
    <xf numFmtId="0" fontId="56" fillId="0" borderId="1" applyAlignment="1" pivotButton="0" quotePrefix="0" xfId="0">
      <alignment horizontal="center" vertical="center" wrapText="1"/>
    </xf>
    <xf numFmtId="0" fontId="5" fillId="0" borderId="1" applyAlignment="1" pivotButton="0" quotePrefix="0" xfId="2">
      <alignment horizontal="left" vertical="center" wrapText="1"/>
    </xf>
    <xf numFmtId="0" fontId="5" fillId="0" borderId="1" applyAlignment="1" pivotButton="0" quotePrefix="0" xfId="0">
      <alignment horizontal="center" vertical="center"/>
    </xf>
    <xf numFmtId="0" fontId="5" fillId="0" borderId="1" applyAlignment="1" pivotButton="0" quotePrefix="0" xfId="2">
      <alignment horizontal="center" vertical="center" wrapText="1"/>
    </xf>
    <xf numFmtId="3" fontId="78" fillId="0" borderId="1" applyAlignment="1" pivotButton="0" quotePrefix="0" xfId="0">
      <alignment horizontal="center" vertical="center" wrapText="1"/>
    </xf>
    <xf numFmtId="3" fontId="79" fillId="0" borderId="1" applyAlignment="1" pivotButton="0" quotePrefix="0" xfId="0">
      <alignment horizontal="center" vertical="center" wrapText="1"/>
    </xf>
    <xf numFmtId="0" fontId="7" fillId="0" borderId="20" applyAlignment="1" pivotButton="0" quotePrefix="0" xfId="0">
      <alignment horizontal="center" vertical="center" wrapText="1"/>
    </xf>
    <xf numFmtId="0" fontId="77" fillId="0" borderId="0" applyAlignment="1" pivotButton="0" quotePrefix="0" xfId="0">
      <alignment vertical="center"/>
    </xf>
    <xf numFmtId="0" fontId="56" fillId="8" borderId="1" applyAlignment="1" pivotButton="0" quotePrefix="0" xfId="0">
      <alignment horizontal="center" vertical="center" wrapText="1"/>
    </xf>
    <xf numFmtId="165" fontId="9" fillId="0" borderId="1" applyAlignment="1" pivotButton="0" quotePrefix="0" xfId="29">
      <alignment horizontal="center" vertical="center" wrapText="1"/>
    </xf>
    <xf numFmtId="165" fontId="56" fillId="9" borderId="1" applyAlignment="1" pivotButton="0" quotePrefix="0" xfId="29">
      <alignment horizontal="center" vertical="center" wrapText="1"/>
    </xf>
    <xf numFmtId="165" fontId="56" fillId="0" borderId="1" applyAlignment="1" pivotButton="0" quotePrefix="0" xfId="29">
      <alignment horizontal="center" vertical="center" wrapText="1"/>
    </xf>
    <xf numFmtId="0" fontId="16" fillId="0" borderId="0" applyAlignment="1" pivotButton="0" quotePrefix="0" xfId="0">
      <alignment horizontal="left" vertical="center"/>
    </xf>
    <xf numFmtId="0" fontId="19" fillId="0" borderId="0" applyAlignment="1" pivotButton="0" quotePrefix="0" xfId="0">
      <alignment horizontal="left" vertical="center"/>
    </xf>
    <xf numFmtId="0" fontId="7" fillId="0" borderId="0" applyAlignment="1" pivotButton="0" quotePrefix="0" xfId="0">
      <alignment horizontal="left" vertical="center"/>
    </xf>
    <xf numFmtId="0" fontId="14" fillId="0" borderId="0" applyAlignment="1" pivotButton="0" quotePrefix="0" xfId="0">
      <alignment horizontal="center" vertical="center" wrapText="1"/>
    </xf>
    <xf numFmtId="0" fontId="13" fillId="0" borderId="7" applyAlignment="1" pivotButton="0" quotePrefix="0" xfId="0">
      <alignment horizontal="center" vertical="center" wrapText="1"/>
    </xf>
    <xf numFmtId="0" fontId="13" fillId="0" borderId="8" applyAlignment="1" pivotButton="0" quotePrefix="0" xfId="0">
      <alignment horizontal="center" vertical="center" wrapText="1"/>
    </xf>
    <xf numFmtId="0" fontId="15" fillId="0" borderId="0" applyAlignment="1" pivotButton="0" quotePrefix="0" xfId="0">
      <alignment horizontal="center"/>
    </xf>
    <xf numFmtId="0" fontId="16" fillId="0" borderId="0" applyAlignment="1" pivotButton="0" quotePrefix="0" xfId="0">
      <alignment horizontal="center" vertical="center" wrapText="1"/>
    </xf>
    <xf numFmtId="0" fontId="22" fillId="0" borderId="0" applyAlignment="1" pivotButton="0" quotePrefix="0" xfId="0">
      <alignment horizontal="center" vertical="center"/>
    </xf>
    <xf numFmtId="0" fontId="17" fillId="0" borderId="0" applyAlignment="1" pivotButton="0" quotePrefix="0" xfId="0">
      <alignment horizontal="center"/>
    </xf>
    <xf numFmtId="0" fontId="17" fillId="0" borderId="0" applyAlignment="1" pivotButton="0" quotePrefix="0" xfId="0">
      <alignment horizontal="center" vertical="center" wrapText="1"/>
    </xf>
    <xf numFmtId="0" fontId="22" fillId="0" borderId="11" applyAlignment="1" pivotButton="0" quotePrefix="0" xfId="0">
      <alignment horizontal="center" vertical="center"/>
    </xf>
    <xf numFmtId="0" fontId="17" fillId="0" borderId="1" applyAlignment="1" pivotButton="0" quotePrefix="0" xfId="0">
      <alignment horizontal="center" vertical="center"/>
    </xf>
    <xf numFmtId="0" fontId="16" fillId="0" borderId="0" applyAlignment="1" pivotButton="0" quotePrefix="0" xfId="0">
      <alignment horizontal="center" vertical="center"/>
    </xf>
    <xf numFmtId="0" fontId="17" fillId="0" borderId="0" applyAlignment="1" pivotButton="0" quotePrefix="0" xfId="0">
      <alignment horizontal="center" vertical="top" wrapText="1"/>
    </xf>
    <xf numFmtId="0" fontId="7" fillId="3" borderId="1" applyAlignment="1" pivotButton="0" quotePrefix="0" xfId="0">
      <alignment horizontal="center" vertical="center" wrapText="1"/>
    </xf>
    <xf numFmtId="0" fontId="16" fillId="0" borderId="0" applyAlignment="1" pivotButton="0" quotePrefix="0" xfId="2">
      <alignment horizontal="left" vertical="center"/>
    </xf>
    <xf numFmtId="0" fontId="7" fillId="0" borderId="0" applyAlignment="1" pivotButton="0" quotePrefix="0" xfId="2">
      <alignment horizontal="left" vertical="center"/>
    </xf>
    <xf numFmtId="0" fontId="17" fillId="0" borderId="0" applyAlignment="1" pivotButton="0" quotePrefix="0" xfId="0">
      <alignment horizontal="center" vertical="center"/>
    </xf>
    <xf numFmtId="0" fontId="17" fillId="0" borderId="3" applyAlignment="1" pivotButton="0" quotePrefix="0" xfId="0">
      <alignment horizontal="center" vertical="center"/>
    </xf>
    <xf numFmtId="0" fontId="17" fillId="0" borderId="4" applyAlignment="1" pivotButton="0" quotePrefix="0" xfId="0">
      <alignment horizontal="center" vertical="center"/>
    </xf>
    <xf numFmtId="0" fontId="17" fillId="0" borderId="5" applyAlignment="1" pivotButton="0" quotePrefix="0" xfId="0">
      <alignment horizontal="center" vertical="center"/>
    </xf>
    <xf numFmtId="0" fontId="4" fillId="0" borderId="0" applyAlignment="1" pivotButton="0" quotePrefix="0" xfId="0">
      <alignment horizontal="left" vertical="center"/>
    </xf>
    <xf numFmtId="0" fontId="0" fillId="0" borderId="0" pivotButton="0" quotePrefix="0" xfId="0"/>
    <xf numFmtId="0" fontId="53" fillId="0" borderId="13" applyAlignment="1" pivotButton="0" quotePrefix="0" xfId="0">
      <alignment horizontal="center" vertical="center"/>
    </xf>
    <xf numFmtId="0" fontId="37" fillId="0" borderId="14" pivotButton="0" quotePrefix="0" xfId="0"/>
    <xf numFmtId="0" fontId="37" fillId="0" borderId="15" pivotButton="0" quotePrefix="0" xfId="0"/>
    <xf numFmtId="0" fontId="53" fillId="0" borderId="0" applyAlignment="1" pivotButton="0" quotePrefix="0" xfId="0">
      <alignment horizontal="center" vertical="center"/>
    </xf>
    <xf numFmtId="0" fontId="4" fillId="0" borderId="0" applyAlignment="1" pivotButton="0" quotePrefix="0" xfId="0">
      <alignment horizontal="center" vertical="center" wrapText="1"/>
    </xf>
    <xf numFmtId="0" fontId="53" fillId="0" borderId="0" applyAlignment="1" pivotButton="0" quotePrefix="0" xfId="0">
      <alignment horizontal="center" vertical="center" wrapText="1"/>
    </xf>
    <xf numFmtId="0" fontId="4" fillId="0" borderId="0" applyAlignment="1" pivotButton="0" quotePrefix="0" xfId="0">
      <alignment horizontal="center" vertical="center"/>
    </xf>
    <xf numFmtId="0" fontId="53" fillId="0" borderId="0" applyAlignment="1" pivotButton="0" quotePrefix="0" xfId="0">
      <alignment horizontal="center" vertical="top" wrapText="1"/>
    </xf>
    <xf numFmtId="0" fontId="53" fillId="0" borderId="0" applyAlignment="1" pivotButton="0" quotePrefix="0" xfId="0">
      <alignment horizontal="center"/>
    </xf>
    <xf numFmtId="0" fontId="29" fillId="6" borderId="0" applyAlignment="1" pivotButton="0" quotePrefix="0" xfId="0">
      <alignment horizontal="center" vertical="center"/>
    </xf>
    <xf numFmtId="0" fontId="17" fillId="0" borderId="11" applyAlignment="1" pivotButton="0" quotePrefix="0" xfId="0">
      <alignment horizontal="center" vertical="center"/>
    </xf>
    <xf numFmtId="0" fontId="17" fillId="0" borderId="16" applyAlignment="1" pivotButton="0" quotePrefix="0" xfId="0">
      <alignment horizontal="center" vertical="center"/>
    </xf>
    <xf numFmtId="0" fontId="21" fillId="0" borderId="0" applyAlignment="1" pivotButton="0" quotePrefix="0" xfId="0">
      <alignment horizontal="left" vertical="center"/>
    </xf>
    <xf numFmtId="0" fontId="19" fillId="0" borderId="0" applyAlignment="1" pivotButton="0" quotePrefix="0" xfId="0">
      <alignment horizontal="left" vertical="center" wrapText="1"/>
    </xf>
    <xf numFmtId="0" fontId="18" fillId="0" borderId="0" applyAlignment="1" pivotButton="0" quotePrefix="0" xfId="0">
      <alignment horizontal="center" vertical="center"/>
    </xf>
    <xf numFmtId="0" fontId="19" fillId="0" borderId="3" applyAlignment="1" pivotButton="0" quotePrefix="0" xfId="0">
      <alignment horizontal="center" vertical="center" wrapText="1"/>
    </xf>
    <xf numFmtId="0" fontId="19" fillId="0" borderId="4" applyAlignment="1" pivotButton="0" quotePrefix="0" xfId="0">
      <alignment horizontal="center" vertical="center" wrapText="1"/>
    </xf>
    <xf numFmtId="0" fontId="19" fillId="0" borderId="5" applyAlignment="1" pivotButton="0" quotePrefix="0" xfId="0">
      <alignment horizontal="center" vertical="center" wrapText="1"/>
    </xf>
    <xf numFmtId="0" fontId="29" fillId="0" borderId="1" applyAlignment="1" pivotButton="0" quotePrefix="0" xfId="0">
      <alignment horizontal="center" vertical="center"/>
    </xf>
    <xf numFmtId="0" fontId="16" fillId="0" borderId="1" applyAlignment="1" pivotButton="0" quotePrefix="0" xfId="0">
      <alignment horizontal="center" vertical="center" wrapText="1"/>
    </xf>
    <xf numFmtId="0" fontId="15" fillId="0" borderId="1" applyAlignment="1" pivotButton="0" quotePrefix="0" xfId="0">
      <alignment horizontal="center" vertical="center"/>
    </xf>
    <xf numFmtId="0" fontId="17" fillId="0" borderId="18" applyAlignment="1" pivotButton="0" quotePrefix="0" xfId="0">
      <alignment horizontal="center" vertical="center"/>
    </xf>
    <xf numFmtId="0" fontId="39" fillId="0" borderId="3" applyAlignment="1" pivotButton="0" quotePrefix="0" xfId="0">
      <alignment horizontal="center" vertical="center"/>
    </xf>
    <xf numFmtId="0" fontId="39" fillId="0" borderId="4" applyAlignment="1" pivotButton="0" quotePrefix="0" xfId="0">
      <alignment horizontal="center" vertical="center"/>
    </xf>
    <xf numFmtId="0" fontId="39" fillId="0" borderId="5" applyAlignment="1" pivotButton="0" quotePrefix="0" xfId="0">
      <alignment horizontal="center" vertical="center"/>
    </xf>
    <xf numFmtId="0" fontId="16" fillId="0" borderId="1" applyAlignment="1" pivotButton="0" quotePrefix="0" xfId="2">
      <alignment horizontal="left" vertical="center" wrapText="1"/>
    </xf>
    <xf numFmtId="0" fontId="26" fillId="0" borderId="0" applyAlignment="1" pivotButton="0" quotePrefix="0" xfId="0">
      <alignment vertical="center"/>
    </xf>
    <xf numFmtId="3" fontId="78" fillId="0" borderId="0" applyAlignment="1" pivotButton="0" quotePrefix="0" xfId="0">
      <alignment horizontal="center" vertical="center" wrapText="1"/>
    </xf>
    <xf numFmtId="0" fontId="80" fillId="0" borderId="1" applyAlignment="1" pivotButton="0" quotePrefix="0" xfId="37">
      <alignment vertical="center" wrapText="1"/>
    </xf>
    <xf numFmtId="0" fontId="9" fillId="0" borderId="1" applyAlignment="1" pivotButton="0" quotePrefix="0" xfId="2">
      <alignment vertical="center" wrapText="1"/>
    </xf>
    <xf numFmtId="0" fontId="6" fillId="0" borderId="1" applyAlignment="1" pivotButton="0" quotePrefix="0" xfId="44">
      <alignment horizontal="center" vertical="center" wrapText="1"/>
    </xf>
    <xf numFmtId="0" fontId="73" fillId="0" borderId="1" applyAlignment="1" pivotButton="0" quotePrefix="0" xfId="44">
      <alignment horizontal="center" vertical="center" wrapText="1"/>
    </xf>
    <xf numFmtId="0" fontId="35" fillId="0" borderId="1" applyAlignment="1" pivotButton="0" quotePrefix="0" xfId="44">
      <alignment horizontal="center" vertical="center" wrapText="1"/>
    </xf>
    <xf numFmtId="0" fontId="73" fillId="0" borderId="1" applyAlignment="1" pivotButton="0" quotePrefix="0" xfId="0">
      <alignment horizontal="left" vertical="center" wrapText="1"/>
    </xf>
    <xf numFmtId="0" fontId="73" fillId="0" borderId="1" applyAlignment="1" pivotButton="0" quotePrefix="0" xfId="0">
      <alignment horizontal="center" vertical="center" wrapText="1"/>
    </xf>
    <xf numFmtId="0" fontId="73" fillId="6" borderId="1" applyAlignment="1" pivotButton="0" quotePrefix="0" xfId="44">
      <alignment horizontal="center" vertical="center" wrapText="1"/>
    </xf>
    <xf numFmtId="165" fontId="73" fillId="0" borderId="1" applyAlignment="1" pivotButton="0" quotePrefix="0" xfId="29">
      <alignment horizontal="center" vertical="center"/>
    </xf>
    <xf numFmtId="0" fontId="35" fillId="0" borderId="1" applyAlignment="1" pivotButton="0" quotePrefix="0" xfId="0">
      <alignment vertical="center"/>
    </xf>
    <xf numFmtId="164" fontId="35" fillId="0" borderId="1" applyAlignment="1" pivotButton="0" quotePrefix="0" xfId="6">
      <alignment horizontal="center" vertical="center"/>
    </xf>
    <xf numFmtId="0" fontId="35" fillId="0" borderId="1" applyAlignment="1" pivotButton="0" quotePrefix="0" xfId="0">
      <alignment horizontal="center" vertical="center"/>
    </xf>
    <xf numFmtId="0" fontId="35" fillId="6" borderId="1" applyAlignment="1" pivotButton="0" quotePrefix="0" xfId="44">
      <alignment horizontal="center" vertical="center" wrapText="1"/>
    </xf>
    <xf numFmtId="3" fontId="35" fillId="8" borderId="1" applyAlignment="1" pivotButton="0" quotePrefix="0" xfId="0">
      <alignment horizontal="center" vertical="center" wrapText="1"/>
    </xf>
    <xf numFmtId="0" fontId="35" fillId="0" borderId="0" applyAlignment="1" pivotButton="0" quotePrefix="0" xfId="0">
      <alignment vertical="center" wrapText="1"/>
    </xf>
    <xf numFmtId="0" fontId="35" fillId="0" borderId="1" applyAlignment="1" pivotButton="0" quotePrefix="0" xfId="0">
      <alignment horizontal="center" vertical="center" wrapText="1"/>
    </xf>
    <xf numFmtId="0" fontId="35" fillId="0" borderId="0" applyAlignment="1" pivotButton="0" quotePrefix="0" xfId="0">
      <alignment horizontal="center" vertical="center" wrapText="1"/>
    </xf>
    <xf numFmtId="0" fontId="5" fillId="0" borderId="0" applyAlignment="1" pivotButton="0" quotePrefix="0" xfId="0">
      <alignment horizontal="center" vertical="center"/>
    </xf>
    <xf numFmtId="0" fontId="5" fillId="6" borderId="1" applyAlignment="1" pivotButton="0" quotePrefix="0" xfId="17">
      <alignment horizontal="center" vertical="center" wrapText="1"/>
    </xf>
    <xf numFmtId="0" fontId="5" fillId="6" borderId="1" applyAlignment="1" pivotButton="0" quotePrefix="0" xfId="0">
      <alignment vertical="center" wrapText="1"/>
    </xf>
    <xf numFmtId="164" fontId="5" fillId="6" borderId="1" applyAlignment="1" pivotButton="0" quotePrefix="0" xfId="29">
      <alignment vertical="center" wrapText="1"/>
    </xf>
    <xf numFmtId="0" fontId="10" fillId="0" borderId="6" applyAlignment="1" pivotButton="0" quotePrefix="0" xfId="0">
      <alignment horizontal="center" vertical="center" wrapText="1"/>
    </xf>
    <xf numFmtId="0" fontId="10" fillId="0" borderId="19" applyAlignment="1" pivotButton="0" quotePrefix="0" xfId="0">
      <alignment horizontal="center" vertical="center" wrapText="1"/>
    </xf>
    <xf numFmtId="0" fontId="81" fillId="0" borderId="0" applyAlignment="1" pivotButton="0" quotePrefix="0" xfId="0">
      <alignment horizontal="center" vertical="center" wrapText="1"/>
    </xf>
    <xf numFmtId="0" fontId="82" fillId="0" borderId="0" applyAlignment="1" pivotButton="0" quotePrefix="0" xfId="0">
      <alignment horizontal="center" vertical="center" wrapText="1"/>
    </xf>
    <xf numFmtId="0" fontId="83" fillId="10" borderId="30" applyAlignment="1" pivotButton="0" quotePrefix="0" xfId="0">
      <alignment horizontal="center" vertical="center" wrapText="1"/>
    </xf>
    <xf numFmtId="0" fontId="84" fillId="0" borderId="30" applyAlignment="1" pivotButton="0" quotePrefix="0" xfId="0">
      <alignment horizontal="center" vertical="center" wrapText="1"/>
    </xf>
    <xf numFmtId="0" fontId="84" fillId="0" borderId="30" applyAlignment="1" pivotButton="0" quotePrefix="0" xfId="0">
      <alignment vertical="center" wrapText="1"/>
    </xf>
    <xf numFmtId="3" fontId="84" fillId="0" borderId="30" applyAlignment="1" pivotButton="0" quotePrefix="0" xfId="0">
      <alignment vertical="center" wrapText="1"/>
    </xf>
    <xf numFmtId="0" fontId="84" fillId="11" borderId="30" applyAlignment="1" pivotButton="0" quotePrefix="0" xfId="0">
      <alignment horizontal="center" vertical="center" wrapText="1"/>
    </xf>
    <xf numFmtId="0" fontId="84" fillId="11" borderId="30" applyAlignment="1" pivotButton="0" quotePrefix="0" xfId="0">
      <alignment vertical="center" wrapText="1"/>
    </xf>
    <xf numFmtId="3" fontId="84" fillId="11" borderId="30" applyAlignment="1" pivotButton="0" quotePrefix="0" xfId="0">
      <alignment vertical="center" wrapText="1"/>
    </xf>
    <xf numFmtId="0" fontId="83" fillId="0" borderId="30" applyAlignment="1" pivotButton="0" quotePrefix="0" xfId="0">
      <alignment horizontal="center" vertical="center" wrapText="1"/>
    </xf>
    <xf numFmtId="0" fontId="83" fillId="0" borderId="30" pivotButton="0" quotePrefix="0" xfId="0"/>
    <xf numFmtId="3" fontId="83" fillId="0" borderId="30" pivotButton="0" quotePrefix="0" xfId="0"/>
    <xf numFmtId="0" fontId="85" fillId="0" borderId="0" pivotButton="0" quotePrefix="0" xfId="0"/>
    <xf numFmtId="0" fontId="83" fillId="0" borderId="0" pivotButton="0" quotePrefix="0" xfId="0"/>
    <xf numFmtId="0" fontId="84" fillId="0" borderId="30" pivotButton="0" quotePrefix="0" xfId="0"/>
    <xf numFmtId="3" fontId="84" fillId="0" borderId="30" pivotButton="0" quotePrefix="0" xfId="0"/>
    <xf numFmtId="0" fontId="0" fillId="0" borderId="25" pivotButton="0" quotePrefix="0" xfId="0"/>
    <xf numFmtId="164" fontId="7" fillId="0" borderId="0" applyAlignment="1" pivotButton="0" quotePrefix="0" xfId="7">
      <alignment vertical="center"/>
    </xf>
    <xf numFmtId="164" fontId="10" fillId="0" borderId="0" applyAlignment="1" pivotButton="0" quotePrefix="0" xfId="7">
      <alignment horizontal="left" vertical="center"/>
    </xf>
    <xf numFmtId="164" fontId="10" fillId="0" borderId="0" applyAlignment="1" pivotButton="0" quotePrefix="0" xfId="7">
      <alignment vertical="center"/>
    </xf>
    <xf numFmtId="0" fontId="0" fillId="0" borderId="11" pivotButton="0" quotePrefix="0" xfId="0"/>
    <xf numFmtId="164" fontId="7" fillId="0" borderId="1" applyAlignment="1" pivotButton="0" quotePrefix="0" xfId="29">
      <alignment horizontal="justify" vertical="center" wrapText="1"/>
    </xf>
    <xf numFmtId="164" fontId="7" fillId="0" borderId="1" applyAlignment="1" pivotButton="0" quotePrefix="0" xfId="29">
      <alignment horizontal="right" vertical="center" wrapText="1"/>
    </xf>
    <xf numFmtId="165" fontId="9" fillId="0" borderId="1" applyAlignment="1" pivotButton="0" quotePrefix="0" xfId="1">
      <alignment vertical="center" wrapText="1"/>
    </xf>
    <xf numFmtId="164" fontId="9" fillId="0" borderId="1" applyAlignment="1" pivotButton="0" quotePrefix="0" xfId="8">
      <alignment horizontal="right" vertical="center" wrapText="1"/>
    </xf>
    <xf numFmtId="165" fontId="9" fillId="0" borderId="1" applyAlignment="1" pivotButton="0" quotePrefix="0" xfId="1">
      <alignment horizontal="right" vertical="center" wrapText="1"/>
    </xf>
    <xf numFmtId="164" fontId="7" fillId="0" borderId="1" applyAlignment="1" pivotButton="0" quotePrefix="0" xfId="30">
      <alignment horizontal="center" vertical="center" wrapText="1"/>
    </xf>
    <xf numFmtId="0" fontId="0" fillId="0" borderId="4" pivotButton="0" quotePrefix="0" xfId="0"/>
    <xf numFmtId="0" fontId="0" fillId="0" borderId="5" pivotButton="0" quotePrefix="0" xfId="0"/>
    <xf numFmtId="164" fontId="17" fillId="0" borderId="1" applyAlignment="1" pivotButton="0" quotePrefix="0" xfId="0">
      <alignment horizontal="center" vertical="center"/>
    </xf>
    <xf numFmtId="164" fontId="31" fillId="0" borderId="1" applyAlignment="1" pivotButton="0" quotePrefix="0" xfId="0">
      <alignment horizontal="right" vertical="center" wrapText="1"/>
    </xf>
    <xf numFmtId="165" fontId="4" fillId="0" borderId="1" applyAlignment="1" pivotButton="0" quotePrefix="0" xfId="1">
      <alignment vertical="center" wrapText="1"/>
    </xf>
    <xf numFmtId="165" fontId="9" fillId="0" borderId="1" applyAlignment="1" pivotButton="0" quotePrefix="0" xfId="1">
      <alignment vertical="center"/>
    </xf>
    <xf numFmtId="164" fontId="42" fillId="0" borderId="1" applyAlignment="1" pivotButton="0" quotePrefix="0" xfId="29">
      <alignment vertical="center" wrapText="1"/>
    </xf>
    <xf numFmtId="164" fontId="6" fillId="0" borderId="1" applyAlignment="1" pivotButton="0" quotePrefix="0" xfId="0">
      <alignment horizontal="right" vertical="center" wrapText="1"/>
    </xf>
    <xf numFmtId="164" fontId="7" fillId="0" borderId="1" applyAlignment="1" pivotButton="0" quotePrefix="0" xfId="0">
      <alignment horizontal="right" vertical="center" wrapText="1"/>
    </xf>
    <xf numFmtId="164" fontId="6" fillId="0" borderId="1" applyAlignment="1" pivotButton="0" quotePrefix="0" xfId="4">
      <alignment horizontal="right" vertical="center" wrapText="1"/>
    </xf>
    <xf numFmtId="0" fontId="39" fillId="0" borderId="1" applyAlignment="1" pivotButton="0" quotePrefix="0" xfId="0">
      <alignment horizontal="center" vertical="center"/>
    </xf>
    <xf numFmtId="164" fontId="39" fillId="0" borderId="1" applyAlignment="1" pivotButton="0" quotePrefix="0" xfId="0">
      <alignment horizontal="center" vertical="center"/>
    </xf>
  </cellXfs>
  <cellStyles count="46">
    <cellStyle name="Normal" xfId="0" builtinId="0"/>
    <cellStyle name="Comma" xfId="1" builtinId="3"/>
    <cellStyle name="Normal 3" xfId="2"/>
    <cellStyle name="Normal 2" xfId="3"/>
    <cellStyle name="Normal 2 2" xfId="4"/>
    <cellStyle name="Comma 2" xfId="5"/>
    <cellStyle name="Comma 2 2" xfId="6"/>
    <cellStyle name="Comma 3" xfId="7"/>
    <cellStyle name="Comma 4" xfId="8"/>
    <cellStyle name="Normal 15" xfId="9"/>
    <cellStyle name="Normal 4" xfId="10"/>
    <cellStyle name="Style 1" xfId="11"/>
    <cellStyle name="Comma 5" xfId="12"/>
    <cellStyle name="Normal 9" xfId="13"/>
    <cellStyle name="Normal 2 2 2" xfId="14"/>
    <cellStyle name="Normal 2 3" xfId="15"/>
    <cellStyle name="Normal 5" xfId="16"/>
    <cellStyle name="Normal 2 2 3" xfId="17"/>
    <cellStyle name="Comma 3 3" xfId="18"/>
    <cellStyle name="Normal 3 2" xfId="19"/>
    <cellStyle name="Ledger 17 x 11 in" xfId="20"/>
    <cellStyle name="Comma 5 3" xfId="21"/>
    <cellStyle name="Normal 4 2" xfId="22"/>
    <cellStyle name="Bình thường 2" xfId="23"/>
    <cellStyle name="Dấu phẩy 2" xfId="24"/>
    <cellStyle name="Normal 7" xfId="25"/>
    <cellStyle name="Comma 7" xfId="26"/>
    <cellStyle name="Comma 3 4" xfId="27"/>
    <cellStyle name="Bình thường 2 2" xfId="28"/>
    <cellStyle name="Comma 3 2" xfId="29"/>
    <cellStyle name="Normal 2 4" xfId="30"/>
    <cellStyle name="Normal 4 2 2" xfId="31"/>
    <cellStyle name="Normal 15 2" xfId="32"/>
    <cellStyle name="Normal 2 3 2" xfId="33"/>
    <cellStyle name="Normal 2 2 3 2" xfId="34"/>
    <cellStyle name="Bình thường 2 2 2" xfId="35"/>
    <cellStyle name="Normal 2 2 3 2 2" xfId="36"/>
    <cellStyle name="Hyperlink" xfId="37" builtinId="8"/>
    <cellStyle name="Normal 8" xfId="38"/>
    <cellStyle name="Normal 6" xfId="39"/>
    <cellStyle name="Normal_LABEL FILE" xfId="40"/>
    <cellStyle name="Normal 2 2 3 2 2 2 2" xfId="41"/>
    <cellStyle name="Normal 2 3 2 2" xfId="42"/>
    <cellStyle name="Normal 15 2 2" xfId="43"/>
    <cellStyle name="Normal 2 2 2 2" xfId="44"/>
    <cellStyle name="Comma 3 2 2" xfId="45"/>
  </cellStyles>
  <dxfs count="9">
    <dxf>
      <font>
        <condense val="0"/>
        <color indexed="9"/>
        <extend val="0"/>
      </font>
    </dxf>
    <dxf>
      <font>
        <condense val="0"/>
        <color indexed="9"/>
        <extend val="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color indexed="9"/>
        <extend val="0"/>
      </font>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T46"/>
  <sheetViews>
    <sheetView tabSelected="1" workbookViewId="0">
      <pane xSplit="2" ySplit="5" topLeftCell="C6" activePane="bottomRight" state="frozen"/>
      <selection pane="topRight"/>
      <selection pane="bottomLeft"/>
      <selection pane="bottomRight" activeCell="A1" sqref="A1"/>
    </sheetView>
  </sheetViews>
  <sheetFormatPr baseColWidth="8" defaultRowHeight="15"/>
  <cols>
    <col width="5" customWidth="1" style="563" min="1" max="1"/>
    <col width="34" customWidth="1" style="563" min="2" max="2"/>
    <col width="16" customWidth="1" style="563" min="3" max="3"/>
    <col width="13" customWidth="1" style="563" min="4" max="4"/>
    <col width="8" customWidth="1" style="563" min="5" max="5"/>
    <col width="12" customWidth="1" style="563" min="6" max="6"/>
    <col width="16" customWidth="1" style="563" min="7" max="7"/>
    <col width="42" customWidth="1" style="563" min="8" max="8"/>
    <col width="13" customWidth="1" style="563" min="9" max="9"/>
    <col width="11" customWidth="1" style="563" min="10" max="10"/>
    <col width="11" customWidth="1" style="563" min="11" max="11"/>
    <col width="11" customWidth="1" style="563" min="12" max="12"/>
    <col width="11" customWidth="1" style="563" min="13" max="13"/>
    <col width="11" customWidth="1" style="563" min="14" max="14"/>
    <col width="10" customWidth="1" style="563" min="15" max="15"/>
    <col width="13" customWidth="1" style="563" min="16" max="16"/>
    <col width="15" customWidth="1" style="563" min="17" max="17"/>
    <col width="11" customWidth="1" style="563" min="18" max="18"/>
    <col width="16" customWidth="1" style="563" min="19" max="19"/>
    <col width="30" customWidth="1" style="563" min="20" max="20"/>
  </cols>
  <sheetData>
    <row r="1">
      <c r="A1" s="615" t="inlineStr">
        <is>
          <t>TỔNG HỢP DANH MỤC ĐẶT HÀNG HÓA CHẤT, DỤNG CỤ THỰC TẬP – NĂM HỌC 2026-2027 – NGÀNH CNKTHH</t>
        </is>
      </c>
    </row>
    <row r="2" ht="30" customHeight="1" s="563">
      <c r="A2" s="616" t="inlineStr">
        <is>
          <t>Gộp từ các sheet: 6.HK1-CHT10039; 7.HK1-CHT10052; 10.HK2-CHT10102; 17.HK3-CHT10017-1A (HC); 30.HK3-CHT10011-A. Các mục trùng tên, đơn vị tính, đơn giá và đơn vị cung cấp được cộng dồn khối lượng.</t>
        </is>
      </c>
    </row>
    <row r="4">
      <c r="A4" s="617" t="inlineStr">
        <is>
          <t>STT</t>
        </is>
      </c>
      <c r="B4" s="617" t="inlineStr">
        <is>
          <t>Danh mục hàng hóa</t>
        </is>
      </c>
      <c r="C4" s="617" t="inlineStr">
        <is>
          <t>Ký mã hiệu</t>
        </is>
      </c>
      <c r="D4" s="617" t="inlineStr">
        <is>
          <t>Nhãn hiệu</t>
        </is>
      </c>
      <c r="E4" s="617" t="inlineStr">
        <is>
          <t>Năm sản xuất</t>
        </is>
      </c>
      <c r="F4" s="617" t="inlineStr">
        <is>
          <t>Xuất xứ (quốc gia, vùng lãnh thổ)</t>
        </is>
      </c>
      <c r="G4" s="617" t="inlineStr">
        <is>
          <t>Hãng sản xuất</t>
        </is>
      </c>
      <c r="H4" s="617" t="inlineStr">
        <is>
          <t>Cấu hình, tính năng kỹ thuật cơ bản</t>
        </is>
      </c>
      <c r="I4" s="617" t="inlineStr">
        <is>
          <t>Đơn vị tính</t>
        </is>
      </c>
      <c r="J4" s="617" t="inlineStr">
        <is>
          <t>Khối lượng theo môn thực tập</t>
        </is>
      </c>
      <c r="K4" s="617" t="n"/>
      <c r="L4" s="617" t="n"/>
      <c r="M4" s="617" t="n"/>
      <c r="N4" s="617" t="n"/>
      <c r="O4" s="617" t="inlineStr">
        <is>
          <t>Tổng khối lượng</t>
        </is>
      </c>
      <c r="P4" s="617" t="inlineStr">
        <is>
          <t>Đơn giá (VAT)</t>
        </is>
      </c>
      <c r="Q4" s="617" t="inlineStr">
        <is>
          <t>Thành tiền (VAT)</t>
        </is>
      </c>
      <c r="R4" s="617" t="inlineStr">
        <is>
          <t>Thời gian giao hàng</t>
        </is>
      </c>
      <c r="S4" s="617" t="inlineStr">
        <is>
          <t>Đơn vị cung cấp</t>
        </is>
      </c>
      <c r="T4" s="617" t="inlineStr">
        <is>
          <t>Mã thực tập</t>
        </is>
      </c>
    </row>
    <row r="5">
      <c r="A5" s="617" t="n"/>
      <c r="B5" s="617" t="n"/>
      <c r="C5" s="617" t="n"/>
      <c r="D5" s="617" t="n"/>
      <c r="E5" s="617" t="n"/>
      <c r="F5" s="617" t="n"/>
      <c r="G5" s="617" t="n"/>
      <c r="H5" s="617" t="n"/>
      <c r="I5" s="617" t="n"/>
      <c r="J5" s="617" t="inlineStr">
        <is>
          <t>CHT10039</t>
        </is>
      </c>
      <c r="K5" s="617" t="inlineStr">
        <is>
          <t>CHT10052</t>
        </is>
      </c>
      <c r="L5" s="617" t="inlineStr">
        <is>
          <t>CHT10102</t>
        </is>
      </c>
      <c r="M5" s="617" t="inlineStr">
        <is>
          <t>CHT10017-1A (HC)</t>
        </is>
      </c>
      <c r="N5" s="617" t="inlineStr">
        <is>
          <t>CHT10011-A</t>
        </is>
      </c>
      <c r="O5" s="617" t="n"/>
      <c r="P5" s="617" t="n"/>
      <c r="Q5" s="617" t="n"/>
      <c r="R5" s="617" t="n"/>
      <c r="S5" s="617" t="n"/>
      <c r="T5" s="617" t="n"/>
    </row>
    <row r="6">
      <c r="A6" s="618" t="n">
        <v>1</v>
      </c>
      <c r="B6" s="619" t="inlineStr">
        <is>
          <t>Anthracene</t>
        </is>
      </c>
      <c r="C6" s="619" t="inlineStr">
        <is>
          <t>A-00957</t>
        </is>
      </c>
      <c r="D6" s="619" t="inlineStr">
        <is>
          <t>Oxford</t>
        </is>
      </c>
      <c r="E6" s="618" t="n">
        <v>2025</v>
      </c>
      <c r="F6" s="619" t="inlineStr">
        <is>
          <t>Ấn Độ</t>
        </is>
      </c>
      <c r="G6" s="619" t="inlineStr">
        <is>
          <t>Oxford</t>
        </is>
      </c>
      <c r="H6" s="619" t="inlineStr">
        <is>
          <t>Dạng vật chất: Bột màu vàng nhạt (màu da bò) Nồng độ phần trăm: ≥96,0% Độ nóng chảy: 213 - 216°C</t>
        </is>
      </c>
      <c r="I6" s="618" t="inlineStr">
        <is>
          <t>Chai/ 100 gam</t>
        </is>
      </c>
      <c r="J6" s="618" t="n">
        <v>1</v>
      </c>
      <c r="K6" s="618" t="n"/>
      <c r="L6" s="618" t="n"/>
      <c r="M6" s="618" t="n"/>
      <c r="N6" s="618" t="n"/>
      <c r="O6" s="618">
        <f>SUM(J6:N6)</f>
        <v/>
      </c>
      <c r="P6" s="620" t="n">
        <v>1166400</v>
      </c>
      <c r="Q6" s="620">
        <f>P6*O6</f>
        <v/>
      </c>
      <c r="R6" s="619" t="inlineStr">
        <is>
          <t>90 ngày</t>
        </is>
      </c>
      <c r="S6" s="619" t="inlineStr">
        <is>
          <t>Cty NL</t>
        </is>
      </c>
      <c r="T6" s="619" t="inlineStr">
        <is>
          <t>6.HK1-CHT10039</t>
        </is>
      </c>
    </row>
    <row r="7">
      <c r="A7" s="621" t="n">
        <v>2</v>
      </c>
      <c r="B7" s="622" t="inlineStr">
        <is>
          <t>Bảng mỏng sắc ký 200*200mm, Silicagel 60, F254</t>
        </is>
      </c>
      <c r="C7" s="622" t="n">
        <v>1055540001</v>
      </c>
      <c r="D7" s="622" t="inlineStr">
        <is>
          <t>Merck</t>
        </is>
      </c>
      <c r="E7" s="621" t="n">
        <v>2025</v>
      </c>
      <c r="F7" s="622" t="inlineStr">
        <is>
          <t>Đức</t>
        </is>
      </c>
      <c r="G7" s="622" t="inlineStr">
        <is>
          <t>Merck</t>
        </is>
      </c>
      <c r="H7" s="622" t="inlineStr">
        <is>
          <t>Tấm TLC nhôm, silica gel phủ chỉ thị huỳnh quang F254. Các tấm TLC silica gel có số lượng 25 tấm kích thước 20x20 cm dùng cho ứng dụng sắc ký lớp mỏng.</t>
        </is>
      </c>
      <c r="I7" s="621" t="inlineStr">
        <is>
          <t>Hộp/ 25 tờ</t>
        </is>
      </c>
      <c r="J7" s="621" t="n">
        <v>3</v>
      </c>
      <c r="K7" s="621" t="n"/>
      <c r="L7" s="621" t="n">
        <v>7</v>
      </c>
      <c r="M7" s="621" t="n"/>
      <c r="N7" s="621" t="n"/>
      <c r="O7" s="621">
        <f>SUM(J7:N7)</f>
        <v/>
      </c>
      <c r="P7" s="623" t="n">
        <v>2187000</v>
      </c>
      <c r="Q7" s="623">
        <f>P7*O7</f>
        <v/>
      </c>
      <c r="R7" s="622" t="inlineStr">
        <is>
          <t>90 ngày</t>
        </is>
      </c>
      <c r="S7" s="622" t="inlineStr">
        <is>
          <t>Cty NL</t>
        </is>
      </c>
      <c r="T7" s="622" t="inlineStr">
        <is>
          <t>6.HK1-CHT10039; 10.HK2-CHT10102</t>
        </is>
      </c>
    </row>
    <row r="8">
      <c r="A8" s="618" t="n">
        <v>3</v>
      </c>
      <c r="B8" s="619" t="inlineStr">
        <is>
          <t>Nhiệt kế rượu 200 độ C</t>
        </is>
      </c>
      <c r="C8" s="619" t="inlineStr">
        <is>
          <t>C39050 010E</t>
        </is>
      </c>
      <c r="D8" s="619" t="inlineStr">
        <is>
          <t>ONELAB</t>
        </is>
      </c>
      <c r="E8" s="618" t="n">
        <v>2025</v>
      </c>
      <c r="F8" s="619" t="inlineStr">
        <is>
          <t>Trung Quốc</t>
        </is>
      </c>
      <c r="G8" s="619" t="inlineStr">
        <is>
          <t>Zhejiang Huili</t>
        </is>
      </c>
      <c r="H8" s="619" t="inlineStr">
        <is>
          <t>Vật liệu: Thủy tinh Loại: Nhiệt kế thân rượu Nhiệt độ: -20oC - 200oC</t>
        </is>
      </c>
      <c r="I8" s="618" t="inlineStr">
        <is>
          <t>Cái</t>
        </is>
      </c>
      <c r="J8" s="618" t="n">
        <v>20</v>
      </c>
      <c r="K8" s="618" t="n"/>
      <c r="L8" s="618" t="n"/>
      <c r="M8" s="618" t="n"/>
      <c r="N8" s="618" t="n"/>
      <c r="O8" s="618">
        <f>SUM(J8:N8)</f>
        <v/>
      </c>
      <c r="P8" s="620" t="n">
        <v>43200</v>
      </c>
      <c r="Q8" s="620">
        <f>P8*O8</f>
        <v/>
      </c>
      <c r="R8" s="619" t="inlineStr">
        <is>
          <t>30 ngày</t>
        </is>
      </c>
      <c r="S8" s="619" t="inlineStr">
        <is>
          <t>Cty NL</t>
        </is>
      </c>
      <c r="T8" s="619" t="inlineStr">
        <is>
          <t>6.HK1-CHT10039</t>
        </is>
      </c>
    </row>
    <row r="9">
      <c r="A9" s="621" t="n">
        <v>4</v>
      </c>
      <c r="B9" s="622" t="inlineStr">
        <is>
          <t>Ống hút pipet pasteur thủy tinh 145mm</t>
        </is>
      </c>
      <c r="C9" s="622" t="n"/>
      <c r="D9" s="622" t="inlineStr">
        <is>
          <t>ONELAB</t>
        </is>
      </c>
      <c r="E9" s="621" t="n"/>
      <c r="F9" s="622" t="n"/>
      <c r="G9" s="622" t="inlineStr">
        <is>
          <t>Trung Quốc</t>
        </is>
      </c>
      <c r="H9" s="622" t="n"/>
      <c r="I9" s="621" t="inlineStr">
        <is>
          <t>Hộp/ 250 cái</t>
        </is>
      </c>
      <c r="J9" s="621" t="n">
        <v>1</v>
      </c>
      <c r="K9" s="621" t="n"/>
      <c r="L9" s="621" t="n">
        <v>1</v>
      </c>
      <c r="M9" s="621" t="n"/>
      <c r="N9" s="621" t="n"/>
      <c r="O9" s="621">
        <f>SUM(J9:N9)</f>
        <v/>
      </c>
      <c r="P9" s="623" t="n">
        <v>285120</v>
      </c>
      <c r="Q9" s="623">
        <f>P9*O9</f>
        <v/>
      </c>
      <c r="R9" s="622" t="inlineStr">
        <is>
          <t>30 ngày</t>
        </is>
      </c>
      <c r="S9" s="622" t="inlineStr">
        <is>
          <t>Cty NL</t>
        </is>
      </c>
      <c r="T9" s="622" t="inlineStr">
        <is>
          <t>6.HK1-CHT10039; 10.HK2-CHT10102</t>
        </is>
      </c>
    </row>
    <row r="10">
      <c r="A10" s="621" t="n">
        <v>5</v>
      </c>
      <c r="B10" s="622" t="inlineStr">
        <is>
          <t>Quả bóp silicon 2ml</t>
        </is>
      </c>
      <c r="C10" s="622" t="inlineStr">
        <is>
          <t>US-C38795-0002PT</t>
        </is>
      </c>
      <c r="D10" s="622" t="inlineStr">
        <is>
          <t>ONELAB</t>
        </is>
      </c>
      <c r="E10" s="621" t="n">
        <v>2025</v>
      </c>
      <c r="F10" s="622" t="inlineStr">
        <is>
          <t>Trung Quốc</t>
        </is>
      </c>
      <c r="G10" s="622" t="inlineStr">
        <is>
          <t>Zhejiang Huili</t>
        </is>
      </c>
      <c r="H10" s="622" t="inlineStr">
        <is>
          <t>Vật liệu: Silicon Dung tích hút: 2 ml</t>
        </is>
      </c>
      <c r="I10" s="621" t="inlineStr">
        <is>
          <t>Cái</t>
        </is>
      </c>
      <c r="J10" s="621" t="n">
        <v>30</v>
      </c>
      <c r="K10" s="621" t="n"/>
      <c r="L10" s="621" t="n">
        <v>20</v>
      </c>
      <c r="M10" s="621" t="n"/>
      <c r="N10" s="621" t="n"/>
      <c r="O10" s="621">
        <f>SUM(J10:N10)</f>
        <v/>
      </c>
      <c r="P10" s="623" t="n">
        <v>11880</v>
      </c>
      <c r="Q10" s="623">
        <f>P10*O10</f>
        <v/>
      </c>
      <c r="R10" s="622" t="inlineStr">
        <is>
          <t>30 ngày</t>
        </is>
      </c>
      <c r="S10" s="622" t="inlineStr">
        <is>
          <t>Cty NL</t>
        </is>
      </c>
      <c r="T10" s="622" t="inlineStr">
        <is>
          <t>6.HK1-CHT10039; 10.HK2-CHT10102</t>
        </is>
      </c>
    </row>
    <row r="11">
      <c r="A11" s="618" t="n">
        <v>6</v>
      </c>
      <c r="B11" s="619" t="inlineStr">
        <is>
          <t>Ethanol, C2H5OH</t>
        </is>
      </c>
      <c r="C11" s="619" t="inlineStr">
        <is>
          <t>C2H5OH-96</t>
        </is>
      </c>
      <c r="D11" s="619" t="inlineStr">
        <is>
          <t>Chemsol</t>
        </is>
      </c>
      <c r="E11" s="618" t="n">
        <v>2025</v>
      </c>
      <c r="F11" s="619" t="inlineStr">
        <is>
          <t>Việt Nam</t>
        </is>
      </c>
      <c r="G11" s="619" t="inlineStr">
        <is>
          <t>VINA CHEM</t>
        </is>
      </c>
      <c r="H11" s="619" t="inlineStr">
        <is>
          <t>Nồng độ phần trăm: 96% Dạng vật chất: Chất lỏng Trong suốt, không màu, có mùi đặc trưng</t>
        </is>
      </c>
      <c r="I11" s="618" t="inlineStr">
        <is>
          <t>Chai/ 500ml</t>
        </is>
      </c>
      <c r="J11" s="618" t="n"/>
      <c r="K11" s="618" t="n">
        <v>30</v>
      </c>
      <c r="L11" s="618" t="n"/>
      <c r="M11" s="618" t="n"/>
      <c r="N11" s="618" t="n"/>
      <c r="O11" s="618">
        <f>SUM(J11:N11)</f>
        <v/>
      </c>
      <c r="P11" s="620" t="n">
        <v>60480</v>
      </c>
      <c r="Q11" s="620">
        <f>P11*O11</f>
        <v/>
      </c>
      <c r="R11" s="619" t="inlineStr">
        <is>
          <t>60 ngày</t>
        </is>
      </c>
      <c r="S11" s="619" t="inlineStr">
        <is>
          <t>Cty NL</t>
        </is>
      </c>
      <c r="T11" s="619" t="inlineStr">
        <is>
          <t>7.HK1-CHT10052</t>
        </is>
      </c>
    </row>
    <row r="12">
      <c r="A12" s="618" t="n">
        <v>7</v>
      </c>
      <c r="B12" s="619" t="inlineStr">
        <is>
          <t>Chai trung tính trắng có nắp vặn 100ML-GL45</t>
        </is>
      </c>
      <c r="C12" s="619" t="inlineStr">
        <is>
          <t>BLS.1105.03</t>
        </is>
      </c>
      <c r="D12" s="619" t="inlineStr">
        <is>
          <t>Biohall Germany</t>
        </is>
      </c>
      <c r="E12" s="618" t="n">
        <v>2025</v>
      </c>
      <c r="F12" s="619" t="inlineStr">
        <is>
          <t>Ấn Độ</t>
        </is>
      </c>
      <c r="G12" s="619" t="inlineStr">
        <is>
          <t>Biohall</t>
        </is>
      </c>
      <c r="H12" s="619" t="inlineStr">
        <is>
          <t>Vật liệu: Thủy tinh boro 3.3, nắp vặn nhựa PE Dung tích: 100 ml Tiêu chuẩn: DIN/ISO 4796</t>
        </is>
      </c>
      <c r="I12" s="618" t="inlineStr">
        <is>
          <t>Cái</t>
        </is>
      </c>
      <c r="J12" s="618" t="n"/>
      <c r="K12" s="618" t="n">
        <v>4</v>
      </c>
      <c r="L12" s="618" t="n"/>
      <c r="M12" s="618" t="n"/>
      <c r="N12" s="618" t="n"/>
      <c r="O12" s="618">
        <f>SUM(J12:N12)</f>
        <v/>
      </c>
      <c r="P12" s="620" t="n">
        <v>75600</v>
      </c>
      <c r="Q12" s="620">
        <f>P12*O12</f>
        <v/>
      </c>
      <c r="R12" s="619" t="inlineStr">
        <is>
          <t>30 ngày</t>
        </is>
      </c>
      <c r="S12" s="619" t="inlineStr">
        <is>
          <t>Cty NL</t>
        </is>
      </c>
      <c r="T12" s="619" t="inlineStr">
        <is>
          <t>7.HK1-CHT10052</t>
        </is>
      </c>
    </row>
    <row r="13">
      <c r="A13" s="618" t="n">
        <v>8</v>
      </c>
      <c r="B13" s="619" t="inlineStr">
        <is>
          <t>Đầu lọc nhựa syringe PTFE Hydrophilic 25mm 0.45um</t>
        </is>
      </c>
      <c r="C13" s="619" t="inlineStr">
        <is>
          <t>C0000609</t>
        </is>
      </c>
      <c r="D13" s="619" t="inlineStr">
        <is>
          <t>ALWSCI</t>
        </is>
      </c>
      <c r="E13" s="618" t="n">
        <v>2025</v>
      </c>
      <c r="F13" s="619" t="inlineStr">
        <is>
          <t>Trung Quốc</t>
        </is>
      </c>
      <c r="G13" s="619" t="inlineStr">
        <is>
          <t>ALWSCI Technologies Co., Ltd</t>
        </is>
      </c>
      <c r="H13" s="619" t="inlineStr">
        <is>
          <t>Vật liệu màng lọc: PTFE Hydrophilic Đường kính: 25mm Kích thước lỗ lọc: 0,45µm</t>
        </is>
      </c>
      <c r="I13" s="618" t="inlineStr">
        <is>
          <t>Hộp/ 100 cái</t>
        </is>
      </c>
      <c r="J13" s="618" t="n"/>
      <c r="K13" s="618" t="n">
        <v>1</v>
      </c>
      <c r="L13" s="618" t="n"/>
      <c r="M13" s="618" t="n"/>
      <c r="N13" s="618" t="n"/>
      <c r="O13" s="618">
        <f>SUM(J13:N13)</f>
        <v/>
      </c>
      <c r="P13" s="620" t="n">
        <v>319680</v>
      </c>
      <c r="Q13" s="620">
        <f>P13*O13</f>
        <v/>
      </c>
      <c r="R13" s="619" t="inlineStr">
        <is>
          <t>30 ngày</t>
        </is>
      </c>
      <c r="S13" s="619" t="inlineStr">
        <is>
          <t>Cty NL</t>
        </is>
      </c>
      <c r="T13" s="619" t="inlineStr">
        <is>
          <t>7.HK1-CHT10052</t>
        </is>
      </c>
    </row>
    <row r="14">
      <c r="A14" s="618" t="n">
        <v>9</v>
      </c>
      <c r="B14" s="619" t="inlineStr">
        <is>
          <t>Sóng lưới lớn 55 x 36.5 x 11 cm</t>
        </is>
      </c>
      <c r="C14" s="619" t="inlineStr">
        <is>
          <t>No.710</t>
        </is>
      </c>
      <c r="D14" s="619" t="inlineStr">
        <is>
          <t>Duy Tân</t>
        </is>
      </c>
      <c r="E14" s="618" t="n">
        <v>2025</v>
      </c>
      <c r="F14" s="619" t="inlineStr">
        <is>
          <t>Việt Nam</t>
        </is>
      </c>
      <c r="G14" s="619" t="inlineStr">
        <is>
          <t>Duy Tân</t>
        </is>
      </c>
      <c r="H14" s="619" t="inlineStr">
        <is>
          <t>Kích thước: 55 x 36.5 x 11 cm Vật liệu: nhựa PP</t>
        </is>
      </c>
      <c r="I14" s="618" t="inlineStr">
        <is>
          <t>Cái</t>
        </is>
      </c>
      <c r="J14" s="618" t="n"/>
      <c r="K14" s="618" t="n">
        <v>5</v>
      </c>
      <c r="L14" s="618" t="n"/>
      <c r="M14" s="618" t="n"/>
      <c r="N14" s="618" t="n"/>
      <c r="O14" s="618">
        <f>SUM(J14:N14)</f>
        <v/>
      </c>
      <c r="P14" s="620" t="n">
        <v>58320</v>
      </c>
      <c r="Q14" s="620">
        <f>P14*O14</f>
        <v/>
      </c>
      <c r="R14" s="619" t="inlineStr">
        <is>
          <t>60 ngày</t>
        </is>
      </c>
      <c r="S14" s="619" t="inlineStr">
        <is>
          <t>Cty NL</t>
        </is>
      </c>
      <c r="T14" s="619" t="inlineStr">
        <is>
          <t>7.HK1-CHT10052</t>
        </is>
      </c>
    </row>
    <row r="15">
      <c r="A15" s="618" t="n">
        <v>10</v>
      </c>
      <c r="B15" s="619" t="inlineStr">
        <is>
          <t>Dụng cụ sấy 43L</t>
        </is>
      </c>
      <c r="C15" s="619" t="inlineStr">
        <is>
          <t>KH-35A</t>
        </is>
      </c>
      <c r="D15" s="619" t="inlineStr">
        <is>
          <t>KENTON</t>
        </is>
      </c>
      <c r="E15" s="618" t="n">
        <v>2025</v>
      </c>
      <c r="F15" s="619" t="inlineStr">
        <is>
          <t>Trung Quốc</t>
        </is>
      </c>
      <c r="G15" s="619" t="inlineStr">
        <is>
          <t>KENTON</t>
        </is>
      </c>
      <c r="H15" s="619" t="inlineStr">
        <is>
          <t>Kích thước buồng sấy: 350 x 350 x 350 mm, làm bằng thép mạ kẽm Điều chỉnh nhiệt độ: Nhiệt độ môi trường(RT) + 5°C đến tối đa 300°C Độ phân giải nhiệt độ: ± 1°C Hẹn giờ sấy: 0 – 999 phút Cài đặt nhiệt độ bằng nút bấm + màn hình LED hiển thị số Đối lưu không khí bằng quạt thổi tự động Điện thế sử dụng: AC 220 V 50/60Hz Công suất: 1200 W</t>
        </is>
      </c>
      <c r="I15" s="618" t="inlineStr">
        <is>
          <t>Cái</t>
        </is>
      </c>
      <c r="J15" s="618" t="n"/>
      <c r="K15" s="618" t="n">
        <v>1</v>
      </c>
      <c r="L15" s="618" t="n"/>
      <c r="M15" s="618" t="n"/>
      <c r="N15" s="618" t="n"/>
      <c r="O15" s="618">
        <f>SUM(J15:N15)</f>
        <v/>
      </c>
      <c r="P15" s="620" t="n">
        <v>6912000</v>
      </c>
      <c r="Q15" s="620">
        <f>P15*O15</f>
        <v/>
      </c>
      <c r="R15" s="619" t="inlineStr">
        <is>
          <t>90 ngày</t>
        </is>
      </c>
      <c r="S15" s="619" t="inlineStr">
        <is>
          <t>Cty NL</t>
        </is>
      </c>
      <c r="T15" s="619" t="inlineStr">
        <is>
          <t>7.HK1-CHT10052</t>
        </is>
      </c>
    </row>
    <row r="16">
      <c r="A16" s="618" t="n">
        <v>11</v>
      </c>
      <c r="B16" s="619" t="inlineStr">
        <is>
          <t>Giấy PH 1-14</t>
        </is>
      </c>
      <c r="C16" s="619" t="inlineStr">
        <is>
          <t>PHT1-14</t>
        </is>
      </c>
      <c r="D16" s="619" t="inlineStr">
        <is>
          <t>Newstar</t>
        </is>
      </c>
      <c r="E16" s="618" t="n">
        <v>2025</v>
      </c>
      <c r="F16" s="619" t="inlineStr">
        <is>
          <t>Trung Quốc</t>
        </is>
      </c>
      <c r="G16" s="619" t="inlineStr">
        <is>
          <t>Hangzhou Special Paper Industry Co.,Ltd</t>
        </is>
      </c>
      <c r="H16" s="619" t="inlineStr">
        <is>
          <t>Dãy so màu: 1-14 Tập: 80 test</t>
        </is>
      </c>
      <c r="I16" s="618" t="inlineStr">
        <is>
          <t>Tập/ 80 test</t>
        </is>
      </c>
      <c r="J16" s="618" t="n"/>
      <c r="K16" s="618" t="n">
        <v>5</v>
      </c>
      <c r="L16" s="618" t="n"/>
      <c r="M16" s="618" t="n"/>
      <c r="N16" s="618" t="n"/>
      <c r="O16" s="618">
        <f>SUM(J16:N16)</f>
        <v/>
      </c>
      <c r="P16" s="620" t="n">
        <v>6804</v>
      </c>
      <c r="Q16" s="620">
        <f>P16*O16</f>
        <v/>
      </c>
      <c r="R16" s="619" t="inlineStr">
        <is>
          <t>30 ngày</t>
        </is>
      </c>
      <c r="S16" s="619" t="inlineStr">
        <is>
          <t>Cty NL</t>
        </is>
      </c>
      <c r="T16" s="619" t="inlineStr">
        <is>
          <t>7.HK1-CHT10052</t>
        </is>
      </c>
    </row>
    <row r="17">
      <c r="A17" s="618" t="n">
        <v>12</v>
      </c>
      <c r="B17" s="619" t="inlineStr">
        <is>
          <t>Nhựa in 3D PETG màu trong suốt</t>
        </is>
      </c>
      <c r="C17" s="619" t="inlineStr">
        <is>
          <t>3D PETG</t>
        </is>
      </c>
      <c r="D17" s="619" t="inlineStr">
        <is>
          <t>Onelab</t>
        </is>
      </c>
      <c r="E17" s="618" t="n">
        <v>2025</v>
      </c>
      <c r="F17" s="619" t="inlineStr">
        <is>
          <t>Trung Quốc</t>
        </is>
      </c>
      <c r="G17" s="619" t="inlineStr">
        <is>
          <t>Zhejiang Huili</t>
        </is>
      </c>
      <c r="H17" s="619" t="inlineStr">
        <is>
          <t>Khả năng truyền sáng đặc sắc và độ dẻo dai vượt trội Sợi nhựa đảm bảo độ kết dính giữa các lớp cực cao</t>
        </is>
      </c>
      <c r="I17" s="618" t="inlineStr">
        <is>
          <t>Cuộn</t>
        </is>
      </c>
      <c r="J17" s="618" t="n"/>
      <c r="K17" s="618" t="n">
        <v>1</v>
      </c>
      <c r="L17" s="618" t="n"/>
      <c r="M17" s="618" t="n"/>
      <c r="N17" s="618" t="n"/>
      <c r="O17" s="618">
        <f>SUM(J17:N17)</f>
        <v/>
      </c>
      <c r="P17" s="620" t="n">
        <v>324000</v>
      </c>
      <c r="Q17" s="620">
        <f>P17*O17</f>
        <v/>
      </c>
      <c r="R17" s="619" t="inlineStr">
        <is>
          <t>90 ngày</t>
        </is>
      </c>
      <c r="S17" s="619" t="inlineStr">
        <is>
          <t>Cty NL</t>
        </is>
      </c>
      <c r="T17" s="619" t="inlineStr">
        <is>
          <t>7.HK1-CHT10052</t>
        </is>
      </c>
    </row>
    <row r="18">
      <c r="A18" s="618" t="n">
        <v>13</v>
      </c>
      <c r="B18" s="619" t="inlineStr">
        <is>
          <t>Trisodium phosphate dodecahydrate, Na3PO4.12H2O</t>
        </is>
      </c>
      <c r="C18" s="619" t="inlineStr">
        <is>
          <t>1.01400.010</t>
        </is>
      </c>
      <c r="D18" s="619" t="inlineStr">
        <is>
          <t>GHTECH</t>
        </is>
      </c>
      <c r="E18" s="618" t="n">
        <v>2025</v>
      </c>
      <c r="F18" s="619" t="inlineStr">
        <is>
          <t>Trung Quốc</t>
        </is>
      </c>
      <c r="G18" s="619" t="inlineStr">
        <is>
          <t>Guangdong Guanghua Sci-Tech Co., Ltd.</t>
        </is>
      </c>
      <c r="H18" s="619" t="inlineStr">
        <is>
          <t>Dạng vật chất: Tinh thể không màu, dễ bị phong hóa trong không khí khô. Tỷ trọng tương đối (nước = 1): 1,62</t>
        </is>
      </c>
      <c r="I18" s="618" t="inlineStr">
        <is>
          <t>Chai/ 500 gam</t>
        </is>
      </c>
      <c r="J18" s="618" t="n"/>
      <c r="K18" s="618" t="n"/>
      <c r="L18" s="618" t="n">
        <v>1</v>
      </c>
      <c r="M18" s="618" t="n"/>
      <c r="N18" s="618" t="n"/>
      <c r="O18" s="618">
        <f>SUM(J18:N18)</f>
        <v/>
      </c>
      <c r="P18" s="620" t="n">
        <v>116640</v>
      </c>
      <c r="Q18" s="620">
        <f>P18*O18</f>
        <v/>
      </c>
      <c r="R18" s="619" t="inlineStr">
        <is>
          <t>30 ngày</t>
        </is>
      </c>
      <c r="S18" s="619" t="inlineStr">
        <is>
          <t>Cty NL</t>
        </is>
      </c>
      <c r="T18" s="619" t="inlineStr">
        <is>
          <t>10.HK2-CHT10102</t>
        </is>
      </c>
    </row>
    <row r="19">
      <c r="A19" s="618" t="n">
        <v>14</v>
      </c>
      <c r="B19" s="619" t="inlineStr">
        <is>
          <t>Bộ giá đỡ loại lớn( Đế+ cọc)</t>
        </is>
      </c>
      <c r="C19" s="619" t="inlineStr">
        <is>
          <t>AA300-150</t>
        </is>
      </c>
      <c r="D19" s="619" t="inlineStr">
        <is>
          <t>ONELAB</t>
        </is>
      </c>
      <c r="E19" s="618" t="n">
        <v>2025</v>
      </c>
      <c r="F19" s="619" t="inlineStr">
        <is>
          <t>Trung Quốc</t>
        </is>
      </c>
      <c r="G19" s="619" t="inlineStr">
        <is>
          <t>Zhejiang Huili</t>
        </is>
      </c>
      <c r="H19" s="619" t="inlineStr">
        <is>
          <t>Vật liệu: Đế thép sơn tĩnh điện, trụ thép không gỉ Kích thước đế: 180x260 mm Kích thước trụ: 700x10 mm</t>
        </is>
      </c>
      <c r="I19" s="618" t="inlineStr">
        <is>
          <t>Bộ</t>
        </is>
      </c>
      <c r="J19" s="618" t="n"/>
      <c r="K19" s="618" t="n"/>
      <c r="L19" s="618" t="n"/>
      <c r="M19" s="618" t="n"/>
      <c r="N19" s="618" t="n">
        <v>8</v>
      </c>
      <c r="O19" s="618">
        <f>SUM(J19:N19)</f>
        <v/>
      </c>
      <c r="P19" s="620" t="n">
        <v>211200</v>
      </c>
      <c r="Q19" s="620">
        <f>P19*O19</f>
        <v/>
      </c>
      <c r="R19" s="619" t="inlineStr">
        <is>
          <t>30 ngày</t>
        </is>
      </c>
      <c r="S19" s="619" t="inlineStr">
        <is>
          <t>Cty NL</t>
        </is>
      </c>
      <c r="T19" s="619" t="inlineStr">
        <is>
          <t>30.HK3-CHT10011-A</t>
        </is>
      </c>
    </row>
    <row r="20">
      <c r="A20" s="618" t="n">
        <v>15</v>
      </c>
      <c r="B20" s="619" t="inlineStr">
        <is>
          <t>Bình định mức thủy tinh, màu trắng 10ml</t>
        </is>
      </c>
      <c r="C20" s="619" t="inlineStr">
        <is>
          <t>1621A-0010</t>
        </is>
      </c>
      <c r="D20" s="619" t="inlineStr">
        <is>
          <t>ONELAB</t>
        </is>
      </c>
      <c r="E20" s="618" t="n">
        <v>2025</v>
      </c>
      <c r="F20" s="619" t="inlineStr">
        <is>
          <t>Trung Quốc</t>
        </is>
      </c>
      <c r="G20" s="619" t="inlineStr">
        <is>
          <t>Zhejiang Huili</t>
        </is>
      </c>
      <c r="H20" s="619" t="inlineStr">
        <is>
          <t>Vật liệu: Thủy tinh Boro 3.3, nút nhựa Dung tích: 10 ml Class A</t>
        </is>
      </c>
      <c r="I20" s="618" t="inlineStr">
        <is>
          <t>Cái</t>
        </is>
      </c>
      <c r="J20" s="618" t="n"/>
      <c r="K20" s="618" t="n"/>
      <c r="L20" s="618" t="n"/>
      <c r="M20" s="618" t="n"/>
      <c r="N20" s="618" t="n">
        <v>18</v>
      </c>
      <c r="O20" s="618">
        <f>SUM(J20:N20)</f>
        <v/>
      </c>
      <c r="P20" s="620" t="n">
        <v>32400</v>
      </c>
      <c r="Q20" s="620">
        <f>P20*O20</f>
        <v/>
      </c>
      <c r="R20" s="619" t="inlineStr">
        <is>
          <t>30 ngày</t>
        </is>
      </c>
      <c r="S20" s="619" t="inlineStr">
        <is>
          <t>Cty NL</t>
        </is>
      </c>
      <c r="T20" s="619" t="inlineStr">
        <is>
          <t>30.HK3-CHT10011-A</t>
        </is>
      </c>
    </row>
    <row r="21">
      <c r="A21" s="618" t="n">
        <v>16</v>
      </c>
      <c r="B21" s="619" t="inlineStr">
        <is>
          <t>Vanillin</t>
        </is>
      </c>
      <c r="C21" s="619" t="n">
        <v>8187180100</v>
      </c>
      <c r="D21" s="619" t="inlineStr">
        <is>
          <t>Merck</t>
        </is>
      </c>
      <c r="E21" s="618" t="n">
        <v>2025</v>
      </c>
      <c r="F21" s="619" t="inlineStr">
        <is>
          <t>Đức</t>
        </is>
      </c>
      <c r="G21" s="619" t="inlineStr">
        <is>
          <t>Merck</t>
        </is>
      </c>
      <c r="H21" s="619" t="inlineStr">
        <is>
          <t>Nồng độ phần trăm: ≥99.0% Dạng vật chất: Bột Nhiệt độ cháy: &gt;400 °C</t>
        </is>
      </c>
      <c r="I21" s="618" t="inlineStr">
        <is>
          <t>Chai/ 100 gam</t>
        </is>
      </c>
      <c r="J21" s="618" t="n"/>
      <c r="K21" s="618" t="n"/>
      <c r="L21" s="618" t="n"/>
      <c r="M21" s="618" t="n"/>
      <c r="N21" s="618" t="n">
        <v>1</v>
      </c>
      <c r="O21" s="618">
        <f>SUM(J21:N21)</f>
        <v/>
      </c>
      <c r="P21" s="620" t="n">
        <v>1587600</v>
      </c>
      <c r="Q21" s="620">
        <f>P21*O21</f>
        <v/>
      </c>
      <c r="R21" s="619" t="inlineStr">
        <is>
          <t>30 ngày</t>
        </is>
      </c>
      <c r="S21" s="619" t="inlineStr">
        <is>
          <t>Cty NL</t>
        </is>
      </c>
      <c r="T21" s="619" t="inlineStr">
        <is>
          <t>30.HK3-CHT10011-A</t>
        </is>
      </c>
    </row>
    <row r="22">
      <c r="A22" s="618" t="n">
        <v>17</v>
      </c>
      <c r="B22" s="619" t="inlineStr">
        <is>
          <t>Ống Sinh hàn thẳng 300mm 29/32</t>
        </is>
      </c>
      <c r="C22" s="619" t="inlineStr">
        <is>
          <t>5023-300</t>
        </is>
      </c>
      <c r="D22" s="619" t="inlineStr">
        <is>
          <t>ONELAB</t>
        </is>
      </c>
      <c r="E22" s="618" t="n">
        <v>2025</v>
      </c>
      <c r="F22" s="619" t="inlineStr">
        <is>
          <t>Trung Quốc</t>
        </is>
      </c>
      <c r="G22" s="619" t="inlineStr">
        <is>
          <t>Zhejiang Huili</t>
        </is>
      </c>
      <c r="H22" s="619" t="inlineStr">
        <is>
          <t>Vật liệu: Thủy tinh Boro 3.3 Tổng chiều dài: 480mm Cổ nhám 2 đầu 29/32</t>
        </is>
      </c>
      <c r="I22" s="618" t="inlineStr">
        <is>
          <t>Cái</t>
        </is>
      </c>
      <c r="J22" s="618" t="n"/>
      <c r="K22" s="618" t="n"/>
      <c r="L22" s="618" t="n"/>
      <c r="M22" s="618" t="n"/>
      <c r="N22" s="618" t="n">
        <v>5</v>
      </c>
      <c r="O22" s="618">
        <f>SUM(J22:N22)</f>
        <v/>
      </c>
      <c r="P22" s="620" t="n">
        <v>324000</v>
      </c>
      <c r="Q22" s="620">
        <f>P22*O22</f>
        <v/>
      </c>
      <c r="R22" s="619" t="inlineStr">
        <is>
          <t>30 ngày</t>
        </is>
      </c>
      <c r="S22" s="619" t="inlineStr">
        <is>
          <t>Cty NL</t>
        </is>
      </c>
      <c r="T22" s="619" t="inlineStr">
        <is>
          <t>30.HK3-CHT10011-A</t>
        </is>
      </c>
    </row>
    <row r="23">
      <c r="A23" s="618" t="n">
        <v>18</v>
      </c>
      <c r="B23" s="619" t="inlineStr">
        <is>
          <t>Petri thủy tinh 90/15mm</t>
        </is>
      </c>
      <c r="C23" s="619" t="inlineStr">
        <is>
          <t>632.602.003.090</t>
        </is>
      </c>
      <c r="D23" s="619" t="inlineStr">
        <is>
          <t>DINLAB LABORGERÄTE</t>
        </is>
      </c>
      <c r="E23" s="618" t="n">
        <v>2025</v>
      </c>
      <c r="F23" s="619" t="inlineStr">
        <is>
          <t>Czech</t>
        </is>
      </c>
      <c r="G23" s="619" t="inlineStr">
        <is>
          <t>Technosklo</t>
        </is>
      </c>
      <c r="H23" s="619" t="inlineStr">
        <is>
          <t>Vật liệu: thủy tinh soda Đường kính/chiều cao: 90/15mm</t>
        </is>
      </c>
      <c r="I23" s="618" t="inlineStr">
        <is>
          <t>Cái</t>
        </is>
      </c>
      <c r="J23" s="618" t="n"/>
      <c r="K23" s="618" t="n"/>
      <c r="L23" s="618" t="n"/>
      <c r="M23" s="618" t="n"/>
      <c r="N23" s="618" t="n">
        <v>20</v>
      </c>
      <c r="O23" s="618">
        <f>SUM(J23:N23)</f>
        <v/>
      </c>
      <c r="P23" s="620" t="n">
        <v>33480</v>
      </c>
      <c r="Q23" s="620">
        <f>P23*O23</f>
        <v/>
      </c>
      <c r="R23" s="619" t="inlineStr">
        <is>
          <t>30 ngày</t>
        </is>
      </c>
      <c r="S23" s="619" t="inlineStr">
        <is>
          <t>Cty NL</t>
        </is>
      </c>
      <c r="T23" s="619" t="inlineStr">
        <is>
          <t>30.HK3-CHT10011-A</t>
        </is>
      </c>
    </row>
    <row r="24">
      <c r="A24" s="618" t="n">
        <v>19</v>
      </c>
      <c r="B24" s="619" t="inlineStr">
        <is>
          <t>Cột sắc ký thủy tinh khóa nhựa 40 x 600mm</t>
        </is>
      </c>
      <c r="C24" s="619" t="inlineStr">
        <is>
          <t>CSK40600</t>
        </is>
      </c>
      <c r="D24" s="619" t="inlineStr">
        <is>
          <t>ONELAB</t>
        </is>
      </c>
      <c r="E24" s="618" t="n">
        <v>2025</v>
      </c>
      <c r="F24" s="619" t="inlineStr">
        <is>
          <t>Việt Nam</t>
        </is>
      </c>
      <c r="G24" s="619" t="inlineStr">
        <is>
          <t>Thanh Long</t>
        </is>
      </c>
      <c r="H24" s="619" t="inlineStr">
        <is>
          <t>Vật liệu: Thủy tinh Kích thước: 40x600 mm</t>
        </is>
      </c>
      <c r="I24" s="618" t="inlineStr">
        <is>
          <t>Cái</t>
        </is>
      </c>
      <c r="J24" s="618" t="n"/>
      <c r="K24" s="618" t="n"/>
      <c r="L24" s="618" t="n"/>
      <c r="M24" s="618" t="n"/>
      <c r="N24" s="618" t="n">
        <v>4</v>
      </c>
      <c r="O24" s="618">
        <f>SUM(J24:N24)</f>
        <v/>
      </c>
      <c r="P24" s="620" t="n">
        <v>891000</v>
      </c>
      <c r="Q24" s="620">
        <f>P24*O24</f>
        <v/>
      </c>
      <c r="R24" s="619" t="inlineStr">
        <is>
          <t>60 ngày</t>
        </is>
      </c>
      <c r="S24" s="619" t="inlineStr">
        <is>
          <t>Cty NL</t>
        </is>
      </c>
      <c r="T24" s="619" t="inlineStr">
        <is>
          <t>30.HK3-CHT10011-A</t>
        </is>
      </c>
    </row>
    <row r="25">
      <c r="A25" s="618" t="n">
        <v>20</v>
      </c>
      <c r="B25" s="619" t="inlineStr">
        <is>
          <t>Cốc thủy tinh 250ml</t>
        </is>
      </c>
      <c r="C25" s="619" t="inlineStr">
        <is>
          <t>1101-250</t>
        </is>
      </c>
      <c r="D25" s="619" t="inlineStr">
        <is>
          <t>ONELAB</t>
        </is>
      </c>
      <c r="E25" s="618" t="n">
        <v>2025</v>
      </c>
      <c r="F25" s="619" t="inlineStr">
        <is>
          <t>Trung Quốc</t>
        </is>
      </c>
      <c r="G25" s="619" t="inlineStr">
        <is>
          <t>Zhejiang Huili</t>
        </is>
      </c>
      <c r="H25" s="619" t="inlineStr">
        <is>
          <t>Vật liệu: Thủy tinh boro 3,3 Dung tích: 250 ml Chiều cao: 95 mm</t>
        </is>
      </c>
      <c r="I25" s="618" t="inlineStr">
        <is>
          <t>Cái</t>
        </is>
      </c>
      <c r="J25" s="618" t="n"/>
      <c r="K25" s="618" t="n"/>
      <c r="L25" s="618" t="n"/>
      <c r="M25" s="618" t="n"/>
      <c r="N25" s="618" t="n">
        <v>30</v>
      </c>
      <c r="O25" s="618">
        <f>SUM(J25:N25)</f>
        <v/>
      </c>
      <c r="P25" s="620" t="n">
        <v>16200</v>
      </c>
      <c r="Q25" s="620">
        <f>P25*O25</f>
        <v/>
      </c>
      <c r="R25" s="619" t="inlineStr">
        <is>
          <t>30 ngày</t>
        </is>
      </c>
      <c r="S25" s="619" t="inlineStr">
        <is>
          <t>Cty NL</t>
        </is>
      </c>
      <c r="T25" s="619" t="inlineStr">
        <is>
          <t>30.HK3-CHT10011-A</t>
        </is>
      </c>
    </row>
    <row r="26">
      <c r="A26" s="618" t="n">
        <v>21</v>
      </c>
      <c r="B26" s="619" t="inlineStr">
        <is>
          <t>Ống mao quản dài 100mm x đkính 1.55mm, hai đầu hở</t>
        </is>
      </c>
      <c r="C26" s="619" t="n">
        <v>2930210</v>
      </c>
      <c r="D26" s="619" t="inlineStr">
        <is>
          <t>Marienfeld</t>
        </is>
      </c>
      <c r="E26" s="618" t="n">
        <v>2025</v>
      </c>
      <c r="F26" s="619" t="inlineStr">
        <is>
          <t>Đức</t>
        </is>
      </c>
      <c r="G26" s="619" t="inlineStr">
        <is>
          <t>Marienfeld</t>
        </is>
      </c>
      <c r="H26" s="619" t="inlineStr">
        <is>
          <t>Chất liệu: Thủy tinh soda Chiều dài: 100 mm Đường kính: 1,55 mm</t>
        </is>
      </c>
      <c r="I26" s="618" t="inlineStr">
        <is>
          <t>Hộp/ 100 cái</t>
        </is>
      </c>
      <c r="J26" s="618" t="n"/>
      <c r="K26" s="618" t="n"/>
      <c r="L26" s="618" t="n"/>
      <c r="M26" s="618" t="n"/>
      <c r="N26" s="618" t="n">
        <v>10</v>
      </c>
      <c r="O26" s="618">
        <f>SUM(J26:N26)</f>
        <v/>
      </c>
      <c r="P26" s="620" t="n">
        <v>550800</v>
      </c>
      <c r="Q26" s="620">
        <f>P26*O26</f>
        <v/>
      </c>
      <c r="R26" s="619" t="inlineStr">
        <is>
          <t>90 ngày</t>
        </is>
      </c>
      <c r="S26" s="619" t="inlineStr">
        <is>
          <t>Cty NL</t>
        </is>
      </c>
      <c r="T26" s="619" t="inlineStr">
        <is>
          <t>30.HK3-CHT10011-A</t>
        </is>
      </c>
    </row>
    <row r="27">
      <c r="A27" s="618" t="n">
        <v>22</v>
      </c>
      <c r="B27" s="619" t="inlineStr">
        <is>
          <t>Ethyl acetate</t>
        </is>
      </c>
      <c r="C27" s="619" t="inlineStr">
        <is>
          <t>CH3COOC2H5-500</t>
        </is>
      </c>
      <c r="D27" s="619" t="inlineStr">
        <is>
          <t>Chemsol</t>
        </is>
      </c>
      <c r="E27" s="618" t="n">
        <v>2025</v>
      </c>
      <c r="F27" s="619" t="inlineStr">
        <is>
          <t>Việt Nam</t>
        </is>
      </c>
      <c r="G27" s="619" t="inlineStr">
        <is>
          <t>VINA CHEM</t>
        </is>
      </c>
      <c r="H27" s="619" t="inlineStr">
        <is>
          <t>Nồng độ phần trăm: &gt; 99,75% Dạng vật chất: Chất lỏng Phổ hồng ngoại phù hợp với cấu trúc Nước: &lt;0,005% Dư lượng khi bay hơi: &lt;0,0005%</t>
        </is>
      </c>
      <c r="I27" s="618" t="inlineStr">
        <is>
          <t>Chai/ 500ml</t>
        </is>
      </c>
      <c r="J27" s="618" t="n"/>
      <c r="K27" s="618" t="n"/>
      <c r="L27" s="618" t="n"/>
      <c r="M27" s="618" t="n"/>
      <c r="N27" s="618" t="n">
        <v>8</v>
      </c>
      <c r="O27" s="618">
        <f>SUM(J27:N27)</f>
        <v/>
      </c>
      <c r="P27" s="620" t="n">
        <v>81000</v>
      </c>
      <c r="Q27" s="620">
        <f>P27*O27</f>
        <v/>
      </c>
      <c r="R27" s="619" t="inlineStr">
        <is>
          <t>60 ngày</t>
        </is>
      </c>
      <c r="S27" s="619" t="inlineStr">
        <is>
          <t>Cty NL</t>
        </is>
      </c>
      <c r="T27" s="619" t="inlineStr">
        <is>
          <t>30.HK3-CHT10011-A</t>
        </is>
      </c>
    </row>
    <row r="28">
      <c r="A28" s="618" t="n">
        <v>23</v>
      </c>
      <c r="B28" s="619" t="inlineStr">
        <is>
          <t>Acetophenone</t>
        </is>
      </c>
      <c r="C28" s="619" t="inlineStr">
        <is>
          <t>GRM3107</t>
        </is>
      </c>
      <c r="D28" s="619" t="inlineStr">
        <is>
          <t>Himedia</t>
        </is>
      </c>
      <c r="E28" s="618" t="n">
        <v>2025</v>
      </c>
      <c r="F28" s="619" t="inlineStr">
        <is>
          <t>Ấn Độ</t>
        </is>
      </c>
      <c r="G28" s="619" t="inlineStr">
        <is>
          <t>Himedia</t>
        </is>
      </c>
      <c r="H28" s="619" t="inlineStr">
        <is>
          <t>Phần trăm độ tinh khiết: 99.0% . Dạng vật lý : Dung dịch không màu đến vàng .Tỷ trọng (ở 25°C): 0.980 - 1.080 g/ml</t>
        </is>
      </c>
      <c r="I28" s="618" t="inlineStr">
        <is>
          <t>500ml/chai</t>
        </is>
      </c>
      <c r="J28" s="618" t="n">
        <v>1</v>
      </c>
      <c r="K28" s="618" t="n"/>
      <c r="L28" s="618" t="n"/>
      <c r="M28" s="618" t="n"/>
      <c r="N28" s="618" t="n"/>
      <c r="O28" s="618">
        <f>SUM(J28:N28)</f>
        <v/>
      </c>
      <c r="P28" s="620" t="n">
        <v>870000</v>
      </c>
      <c r="Q28" s="620">
        <f>P28*O28</f>
        <v/>
      </c>
      <c r="R28" s="619" t="inlineStr">
        <is>
          <t>120 ngày</t>
        </is>
      </c>
      <c r="S28" s="619" t="inlineStr">
        <is>
          <t>Cty THP</t>
        </is>
      </c>
      <c r="T28" s="619" t="inlineStr">
        <is>
          <t>6.HK1-CHT10039</t>
        </is>
      </c>
    </row>
    <row r="29">
      <c r="A29" s="618" t="n">
        <v>24</v>
      </c>
      <c r="B29" s="619" t="inlineStr">
        <is>
          <t>Acetic anhydride</t>
        </is>
      </c>
      <c r="C29" s="619" t="inlineStr">
        <is>
          <t>A/0480/PB17</t>
        </is>
      </c>
      <c r="D29" s="619" t="inlineStr">
        <is>
          <t>Fisher</t>
        </is>
      </c>
      <c r="E29" s="618" t="n">
        <v>2025</v>
      </c>
      <c r="F29" s="619" t="inlineStr">
        <is>
          <t>Mỹ</t>
        </is>
      </c>
      <c r="G29" s="619" t="inlineStr">
        <is>
          <t>Fisher</t>
        </is>
      </c>
      <c r="H29" s="619" t="inlineStr">
        <is>
          <t>Phần trăm độ tinh khiết:≥ 98 % . Hàm lượng Ca ≤ 0.5 ppm . Hàm lượng Cr ≤ 0,02 ppm</t>
        </is>
      </c>
      <c r="I29" s="618" t="inlineStr">
        <is>
          <t>c/2.5 L</t>
        </is>
      </c>
      <c r="J29" s="618" t="n">
        <v>2</v>
      </c>
      <c r="K29" s="618" t="n"/>
      <c r="L29" s="618" t="n"/>
      <c r="M29" s="618" t="n"/>
      <c r="N29" s="618" t="n"/>
      <c r="O29" s="618">
        <f>SUM(J29:N29)</f>
        <v/>
      </c>
      <c r="P29" s="620" t="n">
        <v>1460000</v>
      </c>
      <c r="Q29" s="620">
        <f>P29*O29</f>
        <v/>
      </c>
      <c r="R29" s="619" t="inlineStr">
        <is>
          <t>120 ngày</t>
        </is>
      </c>
      <c r="S29" s="619" t="inlineStr">
        <is>
          <t>Cty THP</t>
        </is>
      </c>
      <c r="T29" s="619" t="inlineStr">
        <is>
          <t>6.HK1-CHT10039</t>
        </is>
      </c>
    </row>
    <row r="30">
      <c r="A30" s="618" t="n">
        <v>25</v>
      </c>
      <c r="B30" s="619" t="inlineStr">
        <is>
          <t>Acid benzoic</t>
        </is>
      </c>
      <c r="C30" s="619" t="inlineStr">
        <is>
          <t>65-85-0</t>
        </is>
      </c>
      <c r="D30" s="619" t="inlineStr">
        <is>
          <t>Xilong</t>
        </is>
      </c>
      <c r="E30" s="618" t="n">
        <v>2025</v>
      </c>
      <c r="F30" s="619" t="inlineStr">
        <is>
          <t>Trung Quốc</t>
        </is>
      </c>
      <c r="G30" s="619" t="inlineStr">
        <is>
          <t>Xilong</t>
        </is>
      </c>
      <c r="H30" s="619" t="inlineStr">
        <is>
          <t>Phần trăm độ tinh khiết: ≥ 99.5% . Nhiệt độ nóng chảy 121- 123 Độ C . Hàm lượng cặn ≤ 0.01%</t>
        </is>
      </c>
      <c r="I30" s="618" t="inlineStr">
        <is>
          <t>250g/chai</t>
        </is>
      </c>
      <c r="J30" s="618" t="n">
        <v>2</v>
      </c>
      <c r="K30" s="618" t="n"/>
      <c r="L30" s="618" t="n"/>
      <c r="M30" s="618" t="n"/>
      <c r="N30" s="618" t="n"/>
      <c r="O30" s="618">
        <f>SUM(J30:N30)</f>
        <v/>
      </c>
      <c r="P30" s="620" t="n">
        <v>150000</v>
      </c>
      <c r="Q30" s="620">
        <f>P30*O30</f>
        <v/>
      </c>
      <c r="R30" s="619" t="inlineStr">
        <is>
          <t>30 ngày</t>
        </is>
      </c>
      <c r="S30" s="619" t="inlineStr">
        <is>
          <t>Cty THP</t>
        </is>
      </c>
      <c r="T30" s="619" t="inlineStr">
        <is>
          <t>6.HK1-CHT10039</t>
        </is>
      </c>
    </row>
    <row r="31">
      <c r="A31" s="618" t="n">
        <v>26</v>
      </c>
      <c r="B31" s="619" t="inlineStr">
        <is>
          <t>Acetonitrile</t>
        </is>
      </c>
      <c r="C31" s="619" t="inlineStr">
        <is>
          <t>A998-4</t>
        </is>
      </c>
      <c r="D31" s="619" t="inlineStr">
        <is>
          <t>Fisher</t>
        </is>
      </c>
      <c r="E31" s="618" t="n">
        <v>2025</v>
      </c>
      <c r="F31" s="619" t="inlineStr">
        <is>
          <t>Mỹ</t>
        </is>
      </c>
      <c r="G31" s="619" t="inlineStr">
        <is>
          <t>Fisher</t>
        </is>
      </c>
      <c r="H31" s="619" t="inlineStr">
        <is>
          <t>Nồng độ 99.95% . Tỷ trọng 0.775-0.780</t>
        </is>
      </c>
      <c r="I31" s="618" t="inlineStr">
        <is>
          <t>Chai 4L</t>
        </is>
      </c>
      <c r="J31" s="618" t="n"/>
      <c r="K31" s="618" t="n"/>
      <c r="L31" s="618" t="n"/>
      <c r="M31" s="618" t="n">
        <v>1</v>
      </c>
      <c r="N31" s="618" t="n"/>
      <c r="O31" s="618">
        <f>SUM(J31:N31)</f>
        <v/>
      </c>
      <c r="P31" s="620" t="n">
        <v>1060000</v>
      </c>
      <c r="Q31" s="620">
        <f>P31*O31</f>
        <v/>
      </c>
      <c r="R31" s="619" t="inlineStr">
        <is>
          <t>120 ngày</t>
        </is>
      </c>
      <c r="S31" s="619" t="inlineStr">
        <is>
          <t>Cty THP</t>
        </is>
      </c>
      <c r="T31" s="619" t="inlineStr">
        <is>
          <t>17.HK3-CHT10017-1A (HC)</t>
        </is>
      </c>
    </row>
    <row r="32">
      <c r="A32" s="621" t="n">
        <v>27</v>
      </c>
      <c r="B32" s="622" t="inlineStr">
        <is>
          <t>Chloroform</t>
        </is>
      </c>
      <c r="C32" s="622" t="inlineStr">
        <is>
          <t>2548-4404</t>
        </is>
      </c>
      <c r="D32" s="622" t="inlineStr">
        <is>
          <t>DaeJung</t>
        </is>
      </c>
      <c r="E32" s="621" t="n">
        <v>2025</v>
      </c>
      <c r="F32" s="622" t="inlineStr">
        <is>
          <t>Hàn Quốc</t>
        </is>
      </c>
      <c r="G32" s="622" t="inlineStr">
        <is>
          <t>DaeJung</t>
        </is>
      </c>
      <c r="H32" s="622" t="inlineStr">
        <is>
          <t>Nồng độ 99,5% . Hàm lượng Cl 5 ppm</t>
        </is>
      </c>
      <c r="I32" s="621" t="inlineStr">
        <is>
          <t>4 Lít / Chai</t>
        </is>
      </c>
      <c r="J32" s="621" t="n"/>
      <c r="K32" s="621" t="n"/>
      <c r="L32" s="621" t="n"/>
      <c r="M32" s="621" t="n">
        <v>15</v>
      </c>
      <c r="N32" s="621" t="n">
        <v>2</v>
      </c>
      <c r="O32" s="621">
        <f>SUM(J32:N32)</f>
        <v/>
      </c>
      <c r="P32" s="623" t="n">
        <v>990000</v>
      </c>
      <c r="Q32" s="623">
        <f>P32*O32</f>
        <v/>
      </c>
      <c r="R32" s="622" t="inlineStr">
        <is>
          <t>120 ngày</t>
        </is>
      </c>
      <c r="S32" s="622" t="inlineStr">
        <is>
          <t>Cty THP</t>
        </is>
      </c>
      <c r="T32" s="622" t="inlineStr">
        <is>
          <t>17.HK3-CHT10017-1A (HC); 30.HK3-CHT10011-A</t>
        </is>
      </c>
    </row>
    <row r="33">
      <c r="A33" s="618" t="n">
        <v>28</v>
      </c>
      <c r="B33" s="619" t="inlineStr">
        <is>
          <t>Acetone CN</t>
        </is>
      </c>
      <c r="C33" s="619" t="inlineStr">
        <is>
          <t>67-64-1 - CN</t>
        </is>
      </c>
      <c r="D33" s="619" t="inlineStr">
        <is>
          <t>TQ</t>
        </is>
      </c>
      <c r="E33" s="618" t="n">
        <v>2025</v>
      </c>
      <c r="F33" s="619" t="inlineStr">
        <is>
          <t>TQ</t>
        </is>
      </c>
      <c r="G33" s="619" t="inlineStr">
        <is>
          <t>TQ</t>
        </is>
      </c>
      <c r="H33" s="619" t="inlineStr">
        <is>
          <t>Nồng độ 99.5% . Tỷ trọng 0.79-0.793</t>
        </is>
      </c>
      <c r="I33" s="618" t="inlineStr">
        <is>
          <t>Can 30L</t>
        </is>
      </c>
      <c r="J33" s="618" t="n"/>
      <c r="K33" s="618" t="n"/>
      <c r="L33" s="618" t="n"/>
      <c r="M33" s="618" t="n"/>
      <c r="N33" s="618" t="n">
        <v>2</v>
      </c>
      <c r="O33" s="618">
        <f>SUM(J33:N33)</f>
        <v/>
      </c>
      <c r="P33" s="620" t="n">
        <v>1830000</v>
      </c>
      <c r="Q33" s="620">
        <f>P33*O33</f>
        <v/>
      </c>
      <c r="R33" s="619" t="inlineStr">
        <is>
          <t>30 ngày</t>
        </is>
      </c>
      <c r="S33" s="619" t="inlineStr">
        <is>
          <t>Cty THP</t>
        </is>
      </c>
      <c r="T33" s="619" t="inlineStr">
        <is>
          <t>30.HK3-CHT10011-A</t>
        </is>
      </c>
    </row>
    <row r="34">
      <c r="A34" s="618" t="n">
        <v>29</v>
      </c>
      <c r="B34" s="619" t="inlineStr">
        <is>
          <t>Cyclohexanol</t>
        </is>
      </c>
      <c r="C34" s="619" t="inlineStr">
        <is>
          <t>2675-4105</t>
        </is>
      </c>
      <c r="D34" s="619" t="inlineStr">
        <is>
          <t>Ấn Độ</t>
        </is>
      </c>
      <c r="E34" s="618" t="n">
        <v>2024</v>
      </c>
      <c r="F34" s="619" t="inlineStr">
        <is>
          <t>Hàn Quốc</t>
        </is>
      </c>
      <c r="G34" s="619" t="inlineStr">
        <is>
          <t>Daejung</t>
        </is>
      </c>
      <c r="H34" s="619" t="inlineStr">
        <is>
          <t>Nồng Độ 99%</t>
        </is>
      </c>
      <c r="I34" s="618" t="inlineStr">
        <is>
          <t>c/ 500 mL</t>
        </is>
      </c>
      <c r="J34" s="618" t="n">
        <v>20</v>
      </c>
      <c r="K34" s="618" t="n"/>
      <c r="L34" s="618" t="n"/>
      <c r="M34" s="618" t="n"/>
      <c r="N34" s="618" t="n"/>
      <c r="O34" s="618">
        <f>SUM(J34:N34)</f>
        <v/>
      </c>
      <c r="P34" s="620" t="n">
        <v>302400</v>
      </c>
      <c r="Q34" s="620">
        <f>P34*O34</f>
        <v/>
      </c>
      <c r="R34" s="619" t="n"/>
      <c r="S34" s="619" t="inlineStr">
        <is>
          <t>Cty Nguyên Phong</t>
        </is>
      </c>
      <c r="T34" s="619" t="inlineStr">
        <is>
          <t>6.HK1-CHT10039</t>
        </is>
      </c>
    </row>
    <row r="35">
      <c r="A35" s="618" t="n">
        <v>30</v>
      </c>
      <c r="B35" s="619" t="inlineStr">
        <is>
          <t>Toluene</t>
        </is>
      </c>
      <c r="C35" s="619" t="n"/>
      <c r="D35" s="619" t="inlineStr">
        <is>
          <t>Chemsol</t>
        </is>
      </c>
      <c r="E35" s="618" t="n">
        <v>2024</v>
      </c>
      <c r="F35" s="619" t="inlineStr">
        <is>
          <t>Việt Nam</t>
        </is>
      </c>
      <c r="G35" s="619" t="inlineStr">
        <is>
          <t>Chemsol</t>
        </is>
      </c>
      <c r="H35" s="619" t="inlineStr">
        <is>
          <t>Nồng độ 99,5%</t>
        </is>
      </c>
      <c r="I35" s="618" t="inlineStr">
        <is>
          <t>Chai/ 500ml</t>
        </is>
      </c>
      <c r="J35" s="618" t="n"/>
      <c r="K35" s="618" t="n"/>
      <c r="L35" s="618" t="n"/>
      <c r="M35" s="618" t="n"/>
      <c r="N35" s="618" t="n">
        <v>20</v>
      </c>
      <c r="O35" s="618">
        <f>SUM(J35:N35)</f>
        <v/>
      </c>
      <c r="P35" s="620" t="n">
        <v>105000</v>
      </c>
      <c r="Q35" s="620">
        <f>P35*O35</f>
        <v/>
      </c>
      <c r="R35" s="619" t="n"/>
      <c r="S35" s="619" t="inlineStr">
        <is>
          <t>Cửa hàng KD Hóa Chất Thiết BỊ PTN HÓA NAM</t>
        </is>
      </c>
      <c r="T35" s="619" t="inlineStr">
        <is>
          <t>30.HK3-CHT10011-A</t>
        </is>
      </c>
    </row>
    <row r="36">
      <c r="A36" s="624" t="inlineStr">
        <is>
          <t>TỔNG CỘNG BAO GỒM VAT</t>
        </is>
      </c>
      <c r="B36" s="625" t="n"/>
      <c r="C36" s="625" t="n"/>
      <c r="D36" s="625" t="n"/>
      <c r="E36" s="625" t="n"/>
      <c r="F36" s="625" t="n"/>
      <c r="G36" s="625" t="n"/>
      <c r="H36" s="625" t="n"/>
      <c r="I36" s="625" t="n"/>
      <c r="J36" s="625" t="n"/>
      <c r="K36" s="625" t="n"/>
      <c r="L36" s="625" t="n"/>
      <c r="M36" s="625" t="n"/>
      <c r="N36" s="625" t="n"/>
      <c r="O36" s="625" t="n"/>
      <c r="P36" s="625" t="n"/>
      <c r="Q36" s="626">
        <f>SUM(Q6:Q35)</f>
        <v/>
      </c>
      <c r="R36" s="625" t="n"/>
      <c r="S36" s="625" t="n"/>
      <c r="T36" s="625" t="n"/>
    </row>
    <row r="38">
      <c r="B38" s="627" t="inlineStr">
        <is>
          <t>Ghi chú: dòng tô vàng là mục được gộp từ nhiều môn thực tập.</t>
        </is>
      </c>
    </row>
    <row r="40">
      <c r="B40" s="628" t="inlineStr">
        <is>
          <t>Tổng hợp theo đơn vị cung cấp</t>
        </is>
      </c>
    </row>
    <row r="41">
      <c r="B41" s="617" t="inlineStr">
        <is>
          <t>Đơn vị cung cấp</t>
        </is>
      </c>
      <c r="C41" s="617" t="inlineStr">
        <is>
          <t>Số mục</t>
        </is>
      </c>
      <c r="D41" s="617" t="inlineStr">
        <is>
          <t>Thành tiền (VAT)</t>
        </is>
      </c>
    </row>
    <row r="42">
      <c r="B42" s="629" t="inlineStr">
        <is>
          <t>Cty NL</t>
        </is>
      </c>
      <c r="C42" s="629">
        <f>COUNTIF($S$6:$S$35,B42)</f>
        <v/>
      </c>
      <c r="D42" s="630">
        <f>SUMIF($S$6:$S$35,B42,$Q$6:$Q$35)</f>
        <v/>
      </c>
    </row>
    <row r="43">
      <c r="B43" s="629" t="inlineStr">
        <is>
          <t>Cty THP</t>
        </is>
      </c>
      <c r="C43" s="629">
        <f>COUNTIF($S$6:$S$35,B43)</f>
        <v/>
      </c>
      <c r="D43" s="630">
        <f>SUMIF($S$6:$S$35,B43,$Q$6:$Q$35)</f>
        <v/>
      </c>
    </row>
    <row r="44">
      <c r="B44" s="629" t="inlineStr">
        <is>
          <t>Cty Nguyên Phong</t>
        </is>
      </c>
      <c r="C44" s="629">
        <f>COUNTIF($S$6:$S$35,B44)</f>
        <v/>
      </c>
      <c r="D44" s="630">
        <f>SUMIF($S$6:$S$35,B44,$Q$6:$Q$35)</f>
        <v/>
      </c>
    </row>
    <row r="45">
      <c r="B45" s="629" t="inlineStr">
        <is>
          <t>Cửa hàng KD Hóa Chất Thiết BỊ PTN HÓA NAM</t>
        </is>
      </c>
      <c r="C45" s="629">
        <f>COUNTIF($S$6:$S$35,B45)</f>
        <v/>
      </c>
      <c r="D45" s="630">
        <f>SUMIF($S$6:$S$35,B45,$Q$6:$Q$35)</f>
        <v/>
      </c>
    </row>
    <row r="46">
      <c r="B46" s="625" t="inlineStr">
        <is>
          <t>Tổng</t>
        </is>
      </c>
      <c r="C46" s="625">
        <f>SUM(C42:C45)</f>
        <v/>
      </c>
      <c r="D46" s="626">
        <f>SUM(D42:D45)</f>
        <v/>
      </c>
    </row>
  </sheetData>
  <mergeCells count="19">
    <mergeCell ref="R4:R5"/>
    <mergeCell ref="C4:C5"/>
    <mergeCell ref="T4:T5"/>
    <mergeCell ref="E4:E5"/>
    <mergeCell ref="O4:O5"/>
    <mergeCell ref="A1:T1"/>
    <mergeCell ref="Q4:Q5"/>
    <mergeCell ref="D4:D5"/>
    <mergeCell ref="J4:N4"/>
    <mergeCell ref="A36:P36"/>
    <mergeCell ref="A4:A5"/>
    <mergeCell ref="G4:G5"/>
    <mergeCell ref="I4:I5"/>
    <mergeCell ref="S4:S5"/>
    <mergeCell ref="A2:T2"/>
    <mergeCell ref="B4:B5"/>
    <mergeCell ref="F4:F5"/>
    <mergeCell ref="H4:H5"/>
    <mergeCell ref="P4:P5"/>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O38"/>
  <sheetViews>
    <sheetView tabSelected="0" zoomScale="70" zoomScaleNormal="70" workbookViewId="0">
      <selection activeCell="A1" sqref="A1:XFD13"/>
    </sheetView>
  </sheetViews>
  <sheetFormatPr baseColWidth="8" defaultRowHeight="15"/>
  <cols>
    <col width="5.42578125" customWidth="1" style="563" min="1" max="1"/>
    <col width="22.85546875" customWidth="1" style="563" min="2" max="2"/>
    <col width="13.85546875" customWidth="1" style="563" min="3" max="3"/>
    <col width="11.7109375" customWidth="1" style="563" min="4" max="4"/>
    <col width="12.5703125" customWidth="1" style="563" min="5" max="5"/>
    <col width="9.85546875" customWidth="1" style="563" min="6" max="6"/>
    <col width="15.7109375" customWidth="1" style="563" min="7" max="7"/>
    <col width="33.7109375" customWidth="1" style="563" min="8" max="8"/>
    <col width="10.28515625" customWidth="1" style="115" min="9" max="9"/>
    <col width="12" customWidth="1" style="115" min="10" max="10"/>
    <col width="12.7109375" customWidth="1" style="563" min="11" max="11"/>
    <col width="14.28515625" bestFit="1" customWidth="1" style="563" min="12" max="12"/>
    <col width="15.7109375" customWidth="1" style="563" min="14" max="14"/>
    <col width="11.42578125" customWidth="1" style="563" min="15" max="15"/>
  </cols>
  <sheetData>
    <row r="1" ht="30.75" customHeight="1" s="563" thickBot="1">
      <c r="K1" s="97" t="n"/>
      <c r="L1" s="544" t="inlineStr">
        <is>
          <t>BM16.QTTB</t>
        </is>
      </c>
      <c r="M1" s="631" t="n"/>
      <c r="N1" s="98" t="n"/>
    </row>
    <row r="2" ht="22.5" customHeight="1" s="563">
      <c r="A2" s="543" t="inlineStr">
        <is>
          <t>TRƯỜNG ĐẠI HỌC KHOA HỌC TỰ NHIÊN</t>
        </is>
      </c>
      <c r="E2" s="543" t="n"/>
      <c r="F2" s="14" t="n"/>
      <c r="G2" s="14" t="n"/>
      <c r="H2" s="14" t="n"/>
      <c r="I2" s="543" t="inlineStr">
        <is>
          <t>CỘNG HÒA XÃ HỘI CHỦ NGHĨA VIỆT NAM</t>
        </is>
      </c>
    </row>
    <row r="3" ht="16.5" customHeight="1" s="563">
      <c r="A3" s="543" t="inlineStr">
        <is>
          <t>ĐƠN VỊ:……...............................</t>
        </is>
      </c>
      <c r="D3" s="543" t="n"/>
      <c r="E3" s="543" t="n"/>
      <c r="I3" s="546" t="inlineStr">
        <is>
          <t>Độc lập - Tự do - Hạnh phúc</t>
        </is>
      </c>
    </row>
    <row r="4" ht="15.75" customFormat="1" customHeight="1" s="16">
      <c r="A4" s="15" t="n"/>
      <c r="B4" s="15" t="n"/>
    </row>
    <row r="5" ht="15.75" customFormat="1" customHeight="1" s="16">
      <c r="A5" s="17" t="n"/>
    </row>
    <row r="6" ht="24" customFormat="1" customHeight="1" s="16">
      <c r="A6" s="548" t="inlineStr">
        <is>
          <t>ĐỀ NGHỊ CUNG CẤP HÓA CHẤT, DỤNG CỤ PHỤC VỤ THỰC TẬP</t>
        </is>
      </c>
    </row>
    <row r="7" ht="13.5" customFormat="1" customHeight="1" s="16">
      <c r="A7" s="17" t="n"/>
    </row>
    <row r="8" ht="15.75" customFormat="1" customHeight="1" s="16">
      <c r="B8" s="24" t="inlineStr">
        <is>
          <t xml:space="preserve">Kính gửi: </t>
        </is>
      </c>
    </row>
    <row r="9" ht="15.75" customFormat="1" customHeight="1" s="16">
      <c r="B9" s="24" t="n"/>
      <c r="C9" s="24" t="inlineStr">
        <is>
          <t>-           Ban Giám hiệu</t>
        </is>
      </c>
      <c r="D9" s="24" t="n"/>
      <c r="E9" s="24" t="n"/>
      <c r="F9" s="24" t="n"/>
      <c r="G9" s="24" t="n"/>
      <c r="H9" s="24" t="n"/>
      <c r="I9" s="24" t="n"/>
      <c r="J9" s="24" t="n"/>
      <c r="K9" s="24" t="n"/>
      <c r="L9" s="24" t="n"/>
      <c r="M9" s="24" t="n"/>
    </row>
    <row r="10" ht="15.75" customFormat="1" customHeight="1" s="16">
      <c r="B10" s="24" t="n"/>
      <c r="C10" s="24" t="inlineStr">
        <is>
          <t>-           Phòng Quản trị Thiết bị</t>
        </is>
      </c>
      <c r="D10" s="24" t="n"/>
      <c r="E10" s="24" t="n"/>
      <c r="F10" s="24" t="n"/>
      <c r="G10" s="24" t="n"/>
      <c r="H10" s="24" t="n"/>
      <c r="I10" s="24" t="n"/>
      <c r="J10" s="24" t="n"/>
      <c r="K10" s="24" t="n"/>
      <c r="L10" s="24" t="n"/>
      <c r="M10" s="24" t="n"/>
    </row>
    <row r="11" ht="15.75" customFormat="1" customHeight="1" s="16">
      <c r="B11" s="24" t="n"/>
      <c r="C11" s="109" t="inlineStr">
        <is>
          <t>-           Khoa Hóa học</t>
        </is>
      </c>
      <c r="D11" s="24" t="n"/>
      <c r="E11" s="24" t="n"/>
      <c r="F11" s="24" t="n"/>
      <c r="G11" s="24" t="n"/>
      <c r="H11" s="24" t="n"/>
      <c r="I11" s="540" t="n"/>
      <c r="J11" s="24" t="n"/>
      <c r="K11" s="24" t="n"/>
      <c r="L11" s="24" t="n"/>
      <c r="M11" s="24" t="n"/>
    </row>
    <row r="12" ht="15.75" customFormat="1" customHeight="1" s="16">
      <c r="B12" s="24" t="n"/>
      <c r="C12" s="24" t="n"/>
      <c r="D12" s="24" t="n"/>
      <c r="E12" s="24" t="n"/>
      <c r="F12" s="24" t="n"/>
      <c r="G12" s="24" t="n"/>
      <c r="H12" s="24" t="n"/>
      <c r="I12" s="540" t="n"/>
      <c r="J12" s="24" t="n"/>
      <c r="K12" s="24" t="n"/>
      <c r="L12" s="24" t="n"/>
      <c r="M12" s="24" t="n"/>
    </row>
    <row r="13" ht="15.75" customFormat="1" customHeight="1" s="16">
      <c r="A13" s="547" t="inlineStr">
        <is>
          <t xml:space="preserve">   Kính trình Ban Giám Hiệu, Phòng Quản trị Thiết bị duyệt cung cấp Hóa chất, dụng cụ cho Thực tập: </t>
        </is>
      </c>
    </row>
    <row r="14" ht="18" customFormat="1" customHeight="1" s="16">
      <c r="A14" s="81" t="n"/>
      <c r="B14" s="24" t="inlineStr">
        <is>
          <t>Tên thực tập: Thực tập Hóa hữu cơ chuyên sâu</t>
        </is>
      </c>
      <c r="G14" s="540" t="inlineStr">
        <is>
          <t>Học kỳ: 1</t>
        </is>
      </c>
      <c r="I14" s="553" t="n"/>
      <c r="J14" s="94" t="n"/>
      <c r="K14" s="556" t="inlineStr">
        <is>
          <t>Năm học: 2026 - 2027</t>
        </is>
      </c>
    </row>
    <row r="15" ht="15.75" customHeight="1" s="563">
      <c r="A15" s="38" t="n"/>
      <c r="B15" s="147" t="inlineStr">
        <is>
          <t>Mã thực tập: CHT10039</t>
        </is>
      </c>
      <c r="C15" s="542" t="n"/>
      <c r="D15" s="147" t="n"/>
      <c r="E15" s="152" t="n"/>
      <c r="F15" s="152" t="n"/>
      <c r="G15" s="144" t="inlineStr">
        <is>
          <t>Kinh phí thực tập dự trù: 20.000.000đ</t>
        </is>
      </c>
      <c r="H15" s="144" t="n"/>
      <c r="I15" s="154" t="n"/>
      <c r="J15" s="156" t="n"/>
      <c r="K15" s="632" t="n"/>
    </row>
    <row r="16" ht="15.75" customHeight="1" s="563">
      <c r="A16" s="38" t="n"/>
      <c r="B16" s="147" t="inlineStr">
        <is>
          <t>Người  nhận hàng: Đặng Hoàng Phú - Huỳnh Ngọc Vinh</t>
        </is>
      </c>
      <c r="C16" s="542" t="n"/>
      <c r="D16" s="147" t="n"/>
      <c r="E16" s="152" t="n"/>
      <c r="F16" s="152" t="n"/>
      <c r="G16" s="147" t="inlineStr">
        <is>
          <t>SĐT: 0938329636</t>
        </is>
      </c>
      <c r="H16" s="147" t="n"/>
      <c r="I16" s="154" t="n"/>
      <c r="J16" s="156" t="n"/>
      <c r="K16" s="147" t="inlineStr">
        <is>
          <t>Địa chỉ nhận hàng: Lầu 5, tòa nhà C22, Linh Trung, Thủ Đức</t>
        </is>
      </c>
    </row>
    <row r="17">
      <c r="A17" s="38" t="n"/>
      <c r="C17" s="39" t="n"/>
      <c r="D17" s="38" t="n"/>
      <c r="E17" s="38" t="n"/>
      <c r="F17" s="39" t="n"/>
      <c r="G17" s="633" t="n"/>
      <c r="H17" s="634" t="n"/>
      <c r="I17" s="155" t="n"/>
    </row>
    <row r="18" ht="29.25" customFormat="1" customHeight="1" s="16">
      <c r="A18" s="551" t="inlineStr">
        <is>
          <t>Danh mục hóa chất, dụng cụ thực tập</t>
        </is>
      </c>
      <c r="B18" s="635" t="n"/>
      <c r="C18" s="635" t="n"/>
      <c r="D18" s="635" t="n"/>
      <c r="E18" s="635" t="n"/>
      <c r="F18" s="635" t="n"/>
      <c r="G18" s="635" t="n"/>
      <c r="H18" s="635" t="n"/>
      <c r="I18" s="635" t="n"/>
      <c r="J18" s="635" t="n"/>
      <c r="K18" s="635" t="n"/>
      <c r="L18" s="635" t="n"/>
      <c r="M18" s="635" t="n"/>
      <c r="N18" s="635" t="n"/>
      <c r="O18" s="635" t="n"/>
    </row>
    <row r="19" ht="78.75" customFormat="1" customHeight="1" s="16">
      <c r="A19" s="95" t="inlineStr">
        <is>
          <t>STT</t>
        </is>
      </c>
      <c r="B19" s="96" t="inlineStr">
        <is>
          <t>Danh mục hàng hóa</t>
        </is>
      </c>
      <c r="C19" s="96" t="inlineStr">
        <is>
          <t>Ký mã hiệu</t>
        </is>
      </c>
      <c r="D19" s="96" t="inlineStr">
        <is>
          <t>Nhãn hiệu</t>
        </is>
      </c>
      <c r="E19" s="96" t="inlineStr">
        <is>
          <t>Năm sản xuất</t>
        </is>
      </c>
      <c r="F19" s="96" t="inlineStr">
        <is>
          <t>Xuất xứ (quốc gia, vùng lãnh thổ)</t>
        </is>
      </c>
      <c r="G19" s="96" t="inlineStr">
        <is>
          <t>Hãng sản xuất</t>
        </is>
      </c>
      <c r="H19" s="96" t="inlineStr">
        <is>
          <t>Cấu hình, tính năng kỹ thuật cơ bản</t>
        </is>
      </c>
      <c r="I19" s="96" t="inlineStr">
        <is>
          <t>Đơn vị tính</t>
        </is>
      </c>
      <c r="J19" s="96" t="inlineStr">
        <is>
          <t>Khối lượng</t>
        </is>
      </c>
      <c r="K19" s="96" t="inlineStr">
        <is>
          <t>Đơn giá (VAT)</t>
        </is>
      </c>
      <c r="L19" s="96" t="inlineStr">
        <is>
          <t>Thành tiền (VAT)</t>
        </is>
      </c>
      <c r="M19" s="125" t="inlineStr">
        <is>
          <t>Thời Gian Giao Hàng</t>
        </is>
      </c>
      <c r="N19" s="96" t="inlineStr">
        <is>
          <t>Đơn vị cung cấp</t>
        </is>
      </c>
      <c r="O19" s="96" t="inlineStr">
        <is>
          <t>Mã thực tập</t>
        </is>
      </c>
    </row>
    <row r="20" ht="63" customHeight="1" s="563">
      <c r="A20" s="218" t="n">
        <v>1</v>
      </c>
      <c r="B20" s="76" t="inlineStr">
        <is>
          <t>Anthracene</t>
        </is>
      </c>
      <c r="C20" s="74" t="inlineStr">
        <is>
          <t>A-00957</t>
        </is>
      </c>
      <c r="D20" s="74" t="inlineStr">
        <is>
          <t>Oxford</t>
        </is>
      </c>
      <c r="E20" s="74" t="n">
        <v>2025</v>
      </c>
      <c r="F20" s="74" t="inlineStr">
        <is>
          <t>Ấn Độ</t>
        </is>
      </c>
      <c r="G20" s="74" t="inlineStr">
        <is>
          <t>Oxford</t>
        </is>
      </c>
      <c r="H20" s="76" t="inlineStr">
        <is>
          <t>Dạng vật chất: Bột màu vàng nhạt (màu da bò)
Nồng độ phần trăm: ≥96,0%
Độ nóng chảy: 213 - 216°C</t>
        </is>
      </c>
      <c r="I20" s="370" t="inlineStr">
        <is>
          <t>Chai/ 100 gam</t>
        </is>
      </c>
      <c r="J20" s="266" t="n">
        <v>1</v>
      </c>
      <c r="K20" s="212" t="n">
        <v>1166400</v>
      </c>
      <c r="L20" s="636">
        <f>K20*J20</f>
        <v/>
      </c>
      <c r="M20" s="533" t="inlineStr">
        <is>
          <t>90 ngày</t>
        </is>
      </c>
      <c r="N20" s="82" t="inlineStr">
        <is>
          <t>Cty NL</t>
        </is>
      </c>
      <c r="O20" s="104" t="inlineStr">
        <is>
          <t>6.HK1-CHT10039</t>
        </is>
      </c>
    </row>
    <row r="21" ht="78.75" customHeight="1" s="563">
      <c r="A21" s="218" t="n">
        <v>2</v>
      </c>
      <c r="B21" s="76" t="inlineStr">
        <is>
          <t>Bảng mỏng sắc ký 200*200mm, Silicagel 60, F254</t>
        </is>
      </c>
      <c r="C21" s="74" t="n">
        <v>1055540001</v>
      </c>
      <c r="D21" s="74" t="inlineStr">
        <is>
          <t>Merck</t>
        </is>
      </c>
      <c r="E21" s="74" t="n">
        <v>2025</v>
      </c>
      <c r="F21" s="74" t="inlineStr">
        <is>
          <t>Đức</t>
        </is>
      </c>
      <c r="G21" s="65" t="inlineStr">
        <is>
          <t>Merck</t>
        </is>
      </c>
      <c r="H21" s="360" t="inlineStr">
        <is>
          <t>Tấm TLC nhôm, silica gel phủ chỉ thị huỳnh quang F254. Các tấm TLC silica gel có số lượng 25 tấm kích thước 20x20 cm dùng cho ứng dụng sắc ký lớp mỏng.</t>
        </is>
      </c>
      <c r="I21" s="370" t="inlineStr">
        <is>
          <t>Hộp/ 25 tờ</t>
        </is>
      </c>
      <c r="J21" s="268" t="n">
        <v>3</v>
      </c>
      <c r="K21" s="212" t="n">
        <v>2187000</v>
      </c>
      <c r="L21" s="636">
        <f>K21*J21</f>
        <v/>
      </c>
      <c r="M21" s="533" t="inlineStr">
        <is>
          <t>90 ngày</t>
        </is>
      </c>
      <c r="N21" s="82" t="inlineStr">
        <is>
          <t>Cty NL</t>
        </is>
      </c>
      <c r="O21" s="104" t="inlineStr">
        <is>
          <t>6.HK1-CHT10039</t>
        </is>
      </c>
    </row>
    <row r="22" ht="50.25" customHeight="1" s="563">
      <c r="A22" s="218" t="n">
        <v>3</v>
      </c>
      <c r="B22" s="76" t="inlineStr">
        <is>
          <t>Nhiệt kế rượu 200 độ C</t>
        </is>
      </c>
      <c r="C22" s="65" t="inlineStr">
        <is>
          <t>C39050 010E</t>
        </is>
      </c>
      <c r="D22" s="74" t="inlineStr">
        <is>
          <t>ONELAB</t>
        </is>
      </c>
      <c r="E22" s="74" t="n">
        <v>2025</v>
      </c>
      <c r="F22" s="74" t="inlineStr">
        <is>
          <t>Trung Quốc</t>
        </is>
      </c>
      <c r="G22" s="350" t="inlineStr">
        <is>
          <t>Zhejiang Huili</t>
        </is>
      </c>
      <c r="H22" s="361" t="inlineStr">
        <is>
          <t>Vật liệu: Thủy tinh
Loại: Nhiệt kế thân rượu
Nhiệt độ: -20oC - 200oC</t>
        </is>
      </c>
      <c r="I22" s="370" t="inlineStr">
        <is>
          <t>Cái</t>
        </is>
      </c>
      <c r="J22" s="268" t="n">
        <v>20</v>
      </c>
      <c r="K22" s="212" t="n">
        <v>43200</v>
      </c>
      <c r="L22" s="636">
        <f>K22*J22</f>
        <v/>
      </c>
      <c r="M22" s="263" t="inlineStr">
        <is>
          <t>30 ngày</t>
        </is>
      </c>
      <c r="N22" s="82" t="inlineStr">
        <is>
          <t>Cty NL</t>
        </is>
      </c>
      <c r="O22" s="104" t="inlineStr">
        <is>
          <t>6.HK1-CHT10039</t>
        </is>
      </c>
    </row>
    <row r="23" ht="30" customHeight="1" s="563">
      <c r="A23" s="218" t="n">
        <v>4</v>
      </c>
      <c r="B23" s="102" t="inlineStr">
        <is>
          <t>Ống hút pipet pasteur thủy tinh 145mm</t>
        </is>
      </c>
      <c r="C23" s="80" t="n"/>
      <c r="D23" s="80" t="inlineStr">
        <is>
          <t>ONELAB</t>
        </is>
      </c>
      <c r="E23" s="448" t="n"/>
      <c r="F23" s="448" t="n"/>
      <c r="G23" s="126" t="inlineStr">
        <is>
          <t>Trung Quốc</t>
        </is>
      </c>
      <c r="H23" s="448" t="n"/>
      <c r="I23" s="307" t="inlineStr">
        <is>
          <t>Hộp/ 250 cái</t>
        </is>
      </c>
      <c r="J23" s="268" t="n">
        <v>1</v>
      </c>
      <c r="K23" s="446" t="n">
        <v>285120</v>
      </c>
      <c r="L23" s="637">
        <f>K23*J23</f>
        <v/>
      </c>
      <c r="M23" s="263" t="inlineStr">
        <is>
          <t>30 ngày</t>
        </is>
      </c>
      <c r="N23" s="82" t="inlineStr">
        <is>
          <t>Cty NL</t>
        </is>
      </c>
      <c r="O23" s="104" t="inlineStr">
        <is>
          <t>6.HK1-CHT10039</t>
        </is>
      </c>
    </row>
    <row r="24" ht="31.5" customHeight="1" s="563">
      <c r="A24" s="218" t="n">
        <v>5</v>
      </c>
      <c r="B24" s="76" t="inlineStr">
        <is>
          <t xml:space="preserve">Quả bóp silicon 2ml </t>
        </is>
      </c>
      <c r="C24" s="350" t="inlineStr">
        <is>
          <t>US-C38795-0002PT</t>
        </is>
      </c>
      <c r="D24" s="74" t="inlineStr">
        <is>
          <t>ONELAB</t>
        </is>
      </c>
      <c r="E24" s="74" t="n">
        <v>2025</v>
      </c>
      <c r="F24" s="74" t="inlineStr">
        <is>
          <t>Trung Quốc</t>
        </is>
      </c>
      <c r="G24" s="65" t="inlineStr">
        <is>
          <t>Zhejiang Huili</t>
        </is>
      </c>
      <c r="H24" s="355" t="inlineStr">
        <is>
          <t>Vật liệu: Silicon
Dung tích hút: 2 ml</t>
        </is>
      </c>
      <c r="I24" s="370" t="inlineStr">
        <is>
          <t>Cái</t>
        </is>
      </c>
      <c r="J24" s="268" t="n">
        <v>30</v>
      </c>
      <c r="K24" s="212" t="n">
        <v>11880</v>
      </c>
      <c r="L24" s="636">
        <f>K24*J24</f>
        <v/>
      </c>
      <c r="M24" s="263" t="inlineStr">
        <is>
          <t>30 ngày</t>
        </is>
      </c>
      <c r="N24" s="82" t="inlineStr">
        <is>
          <t>Cty NL</t>
        </is>
      </c>
      <c r="O24" s="104" t="inlineStr">
        <is>
          <t>6.HK1-CHT10039</t>
        </is>
      </c>
    </row>
    <row r="25" ht="60" customHeight="1" s="563">
      <c r="A25" s="218" t="n">
        <v>6</v>
      </c>
      <c r="B25" s="449" t="inlineStr">
        <is>
          <t>Acetophenone</t>
        </is>
      </c>
      <c r="C25" s="80" t="inlineStr">
        <is>
          <t>GRM3107</t>
        </is>
      </c>
      <c r="D25" s="80" t="inlineStr">
        <is>
          <t>Himedia</t>
        </is>
      </c>
      <c r="E25" s="80" t="n">
        <v>2025</v>
      </c>
      <c r="F25" s="80" t="inlineStr">
        <is>
          <t>Ấn Độ</t>
        </is>
      </c>
      <c r="G25" s="80" t="inlineStr">
        <is>
          <t>Himedia</t>
        </is>
      </c>
      <c r="H25" s="102" t="inlineStr">
        <is>
          <t>Phần trăm độ tinh khiết: 99.0% . Dạng vật lý : Dung dịch không màu đến vàng .Tỷ trọng (ở 25°C): 0.980 - 1.080 g/ml</t>
        </is>
      </c>
      <c r="I25" s="114" t="inlineStr">
        <is>
          <t>500ml/chai</t>
        </is>
      </c>
      <c r="J25" s="450" t="n">
        <v>1</v>
      </c>
      <c r="K25" s="638" t="n">
        <v>870000</v>
      </c>
      <c r="L25" s="636">
        <f>K25*J25</f>
        <v/>
      </c>
      <c r="M25" s="104" t="inlineStr">
        <is>
          <t xml:space="preserve">120 ngày </t>
        </is>
      </c>
      <c r="N25" s="82" t="inlineStr">
        <is>
          <t>Cty THP</t>
        </is>
      </c>
      <c r="O25" s="104" t="inlineStr">
        <is>
          <t>6.HK1-CHT10039</t>
        </is>
      </c>
    </row>
    <row r="26" ht="45" customHeight="1" s="563">
      <c r="A26" s="218" t="n">
        <v>7</v>
      </c>
      <c r="B26" s="451" t="inlineStr">
        <is>
          <t>Acetic anhydride</t>
        </is>
      </c>
      <c r="C26" s="450" t="inlineStr">
        <is>
          <t>A/0480/PB17</t>
        </is>
      </c>
      <c r="D26" s="450" t="inlineStr">
        <is>
          <t>Fisher</t>
        </is>
      </c>
      <c r="E26" s="450" t="n">
        <v>2025</v>
      </c>
      <c r="F26" s="450" t="inlineStr">
        <is>
          <t xml:space="preserve">Mỹ </t>
        </is>
      </c>
      <c r="G26" s="450" t="inlineStr">
        <is>
          <t>Fisher</t>
        </is>
      </c>
      <c r="H26" s="102" t="inlineStr">
        <is>
          <t>Phần trăm độ tinh khiết:≥ 98 % . Hàm lượng Ca ≤ 0.5 ppm . Hàm lượng Cr ≤  0,02 ppm</t>
        </is>
      </c>
      <c r="I26" s="450" t="inlineStr">
        <is>
          <t>c/2.5 L</t>
        </is>
      </c>
      <c r="J26" s="450" t="n">
        <v>2</v>
      </c>
      <c r="K26" s="639" t="n">
        <v>1460000</v>
      </c>
      <c r="L26" s="636">
        <f>K26*J26</f>
        <v/>
      </c>
      <c r="M26" s="104" t="inlineStr">
        <is>
          <t xml:space="preserve">120 ngày </t>
        </is>
      </c>
      <c r="N26" s="82" t="inlineStr">
        <is>
          <t>Cty THP</t>
        </is>
      </c>
      <c r="O26" s="104" t="inlineStr">
        <is>
          <t>6.HK1-CHT10039</t>
        </is>
      </c>
    </row>
    <row r="27" ht="45" customHeight="1" s="563">
      <c r="A27" s="218" t="n">
        <v>8</v>
      </c>
      <c r="B27" s="449" t="inlineStr">
        <is>
          <t>Acid benzoic</t>
        </is>
      </c>
      <c r="C27" s="80" t="inlineStr">
        <is>
          <t>65-85-0</t>
        </is>
      </c>
      <c r="D27" s="80" t="inlineStr">
        <is>
          <t>Xilong</t>
        </is>
      </c>
      <c r="E27" s="80" t="n">
        <v>2025</v>
      </c>
      <c r="F27" s="80" t="inlineStr">
        <is>
          <t>Trung Quốc</t>
        </is>
      </c>
      <c r="G27" s="80" t="inlineStr">
        <is>
          <t>Xilong</t>
        </is>
      </c>
      <c r="H27" s="102" t="inlineStr">
        <is>
          <t xml:space="preserve">Phần trăm độ tinh khiết: ≥ 99.5% . Nhiệt độ nóng chảy 121- 123 Độ C . Hàm lượng cặn ≤ 0.01% </t>
        </is>
      </c>
      <c r="I27" s="80" t="inlineStr">
        <is>
          <t>250g/chai</t>
        </is>
      </c>
      <c r="J27" s="452" t="n">
        <v>2</v>
      </c>
      <c r="K27" s="640" t="n">
        <v>150000</v>
      </c>
      <c r="L27" s="636">
        <f>K27*J27</f>
        <v/>
      </c>
      <c r="M27" s="104" t="inlineStr">
        <is>
          <t xml:space="preserve">30 ngày </t>
        </is>
      </c>
      <c r="N27" s="453" t="inlineStr">
        <is>
          <t>Cty THP</t>
        </is>
      </c>
      <c r="O27" s="104" t="inlineStr">
        <is>
          <t>6.HK1-CHT10039</t>
        </is>
      </c>
    </row>
    <row r="28" ht="31.5" customHeight="1" s="563">
      <c r="A28" s="218" t="n">
        <v>9</v>
      </c>
      <c r="B28" s="454" t="inlineStr">
        <is>
          <t>Cyclohexanol</t>
        </is>
      </c>
      <c r="C28" s="266" t="inlineStr">
        <is>
          <t>2675-4105</t>
        </is>
      </c>
      <c r="D28" s="266" t="inlineStr">
        <is>
          <t>Ấn Độ</t>
        </is>
      </c>
      <c r="E28" s="266" t="n">
        <v>2024</v>
      </c>
      <c r="F28" s="266" t="inlineStr">
        <is>
          <t>Hàn Quốc</t>
        </is>
      </c>
      <c r="G28" s="266" t="inlineStr">
        <is>
          <t>Daejung</t>
        </is>
      </c>
      <c r="H28" s="455" t="inlineStr">
        <is>
          <t>Nồng Độ 99%</t>
        </is>
      </c>
      <c r="I28" s="266" t="inlineStr">
        <is>
          <t>c/ 500 mL</t>
        </is>
      </c>
      <c r="J28" s="266" t="n">
        <v>20</v>
      </c>
      <c r="K28" s="456" t="n">
        <v>302400</v>
      </c>
      <c r="L28" s="636">
        <f>K28*J28</f>
        <v/>
      </c>
      <c r="M28" s="641" t="n"/>
      <c r="N28" s="457" t="inlineStr">
        <is>
          <t>Cty Nguyên Phong</t>
        </is>
      </c>
      <c r="O28" s="104" t="inlineStr">
        <is>
          <t>6.HK1-CHT10039</t>
        </is>
      </c>
    </row>
    <row r="29" ht="25.5" customFormat="1" customHeight="1" s="16">
      <c r="A29" s="552" t="inlineStr">
        <is>
          <t>TỔNG CỘNG BAO GỒM VAT</t>
        </is>
      </c>
      <c r="B29" s="642" t="n"/>
      <c r="C29" s="642" t="n"/>
      <c r="D29" s="642" t="n"/>
      <c r="E29" s="642" t="n"/>
      <c r="F29" s="642" t="n"/>
      <c r="G29" s="642" t="n"/>
      <c r="H29" s="642" t="n"/>
      <c r="I29" s="642" t="n"/>
      <c r="J29" s="642" t="n"/>
      <c r="K29" s="643" t="n"/>
      <c r="L29" s="644">
        <f>SUM(L20:L28)</f>
        <v/>
      </c>
      <c r="M29" s="37" t="n"/>
      <c r="N29" s="37" t="n"/>
    </row>
    <row r="30" ht="15.75" customFormat="1" customHeight="1" s="16">
      <c r="B30" s="24" t="n"/>
      <c r="I30" s="94" t="n"/>
      <c r="J30" s="94" t="n"/>
    </row>
    <row r="31" ht="15.75" customFormat="1" customHeight="1" s="16">
      <c r="I31" s="553" t="inlineStr">
        <is>
          <t xml:space="preserve">        Ngày….tháng…năm …..</t>
        </is>
      </c>
      <c r="L31" s="24" t="n"/>
    </row>
    <row r="32" ht="20.25" customFormat="1" customHeight="1" s="16">
      <c r="C32" s="554" t="inlineStr">
        <is>
          <t>Trưởng Khoa</t>
        </is>
      </c>
      <c r="E32" s="26" t="n"/>
      <c r="F32" s="26" t="n"/>
      <c r="G32" s="554" t="n"/>
      <c r="H32" s="554" t="n"/>
      <c r="I32" s="554" t="inlineStr">
        <is>
          <t>Trưởng thực tập/Trưởng BM</t>
        </is>
      </c>
      <c r="L32" s="26" t="n"/>
    </row>
    <row r="33" ht="15.75" customFormat="1" customHeight="1" s="16">
      <c r="A33" s="27" t="n"/>
      <c r="I33" s="94" t="n"/>
      <c r="J33" s="94" t="n"/>
    </row>
    <row r="34" ht="15.75" customFormat="1" customHeight="1" s="16">
      <c r="I34" s="94" t="n"/>
      <c r="J34" s="94" t="n"/>
    </row>
    <row r="35" ht="15.75" customFormat="1" customHeight="1" s="16">
      <c r="I35" s="94" t="n"/>
      <c r="J35" s="94" t="n"/>
    </row>
    <row r="36" ht="15.75" customFormat="1" customHeight="1" s="16">
      <c r="I36" s="94" t="n"/>
      <c r="J36" s="94" t="n"/>
    </row>
    <row r="37" ht="22.5" customFormat="1" customHeight="1" s="16">
      <c r="C37" s="549" t="n"/>
      <c r="I37" s="549" t="inlineStr">
        <is>
          <t>Đặng Hoàng Phú</t>
        </is>
      </c>
    </row>
    <row r="38" ht="37.5" customFormat="1" customHeight="1" s="16">
      <c r="C38" s="550" t="inlineStr">
        <is>
          <t>Hiệu Trưởng</t>
        </is>
      </c>
      <c r="E38" s="27" t="n"/>
      <c r="F38" s="27" t="n"/>
      <c r="G38" s="550" t="n"/>
      <c r="H38" s="550" t="n"/>
      <c r="I38" s="550" t="inlineStr">
        <is>
          <t>Trưởng phòng
Phòng Quản trị Thiết bị</t>
        </is>
      </c>
      <c r="L38" s="27" t="n"/>
    </row>
  </sheetData>
  <mergeCells count="18">
    <mergeCell ref="I38:K38"/>
    <mergeCell ref="A13:M13"/>
    <mergeCell ref="I32:K32"/>
    <mergeCell ref="I3:M3"/>
    <mergeCell ref="C32:D32"/>
    <mergeCell ref="C38:D38"/>
    <mergeCell ref="A29:K29"/>
    <mergeCell ref="K14:M14"/>
    <mergeCell ref="I37:K37"/>
    <mergeCell ref="A6:M6"/>
    <mergeCell ref="C37:D37"/>
    <mergeCell ref="I31:K31"/>
    <mergeCell ref="L1:M1"/>
    <mergeCell ref="I2:M2"/>
    <mergeCell ref="G14:H14"/>
    <mergeCell ref="A3:C3"/>
    <mergeCell ref="A2:D2"/>
    <mergeCell ref="A18:O18"/>
  </mergeCells>
  <dataValidations count="1">
    <dataValidation sqref="G29:G38" showDropDown="0" showInputMessage="0" showErrorMessage="1" allowBlank="0" errorTitle="Lưu ý" error="Nhập số nguyên lớn hơn 0 và nhỏ hơn 999,999,999,999,999" promptTitle="Lưu ý" prompt="Nhập số nguyên lớn hơn 0 và nhỏ hơn 999,999,999,999,999" type="whole">
      <formula1>0</formula1>
      <formula2>999999999999999</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O36"/>
  <sheetViews>
    <sheetView tabSelected="0" zoomScale="70" zoomScaleNormal="70" workbookViewId="0">
      <selection activeCell="A1" sqref="A1:XFD13"/>
    </sheetView>
  </sheetViews>
  <sheetFormatPr baseColWidth="8" defaultRowHeight="15"/>
  <cols>
    <col width="6.42578125" customWidth="1" style="563" min="1" max="1"/>
    <col width="36.28515625" customWidth="1" style="563" min="2" max="2"/>
    <col width="11" customWidth="1" style="563" min="3" max="3"/>
    <col width="11.140625" customWidth="1" style="563" min="4" max="4"/>
    <col width="8.7109375" customWidth="1" style="563" min="5" max="5"/>
    <col width="10.85546875" customWidth="1" style="563" min="6" max="6"/>
    <col width="13.140625" customWidth="1" style="563" min="7" max="7"/>
    <col width="26.28515625" customWidth="1" style="563" min="8" max="8"/>
    <col width="11.5703125" customWidth="1" style="563" min="9" max="9"/>
    <col width="9.5703125" customWidth="1" style="563" min="10" max="10"/>
    <col width="12.140625" customWidth="1" style="563" min="11" max="11"/>
    <col width="14.28515625" bestFit="1" customWidth="1" style="563" min="12" max="12"/>
    <col width="16.42578125" customWidth="1" style="563" min="14" max="14"/>
    <col width="11.85546875" customWidth="1" style="563" min="15" max="15"/>
  </cols>
  <sheetData>
    <row r="1" ht="30.75" customHeight="1" s="563" thickBot="1">
      <c r="K1" s="97" t="n"/>
      <c r="L1" s="544" t="inlineStr">
        <is>
          <t>BM16.QTTB</t>
        </is>
      </c>
      <c r="M1" s="631" t="n"/>
      <c r="N1" s="98" t="n"/>
    </row>
    <row r="2" ht="22.5" customHeight="1" s="563">
      <c r="A2" s="543" t="inlineStr">
        <is>
          <t>TRƯỜNG ĐẠI HỌC KHOA HỌC TỰ NHIÊN</t>
        </is>
      </c>
      <c r="E2" s="543" t="n"/>
      <c r="F2" s="14" t="n"/>
      <c r="G2" s="14" t="n"/>
      <c r="H2" s="14" t="n"/>
      <c r="I2" s="543" t="inlineStr">
        <is>
          <t>CỘNG HÒA XÃ HỘI CHỦ NGHĨA VIỆT NAM</t>
        </is>
      </c>
    </row>
    <row r="3" ht="16.5" customHeight="1" s="563">
      <c r="A3" s="543" t="inlineStr">
        <is>
          <t>ĐƠN VỊ:……...............................</t>
        </is>
      </c>
      <c r="D3" s="543" t="n"/>
      <c r="E3" s="543" t="n"/>
      <c r="I3" s="546" t="inlineStr">
        <is>
          <t>Độc lập - Tự do - Hạnh phúc</t>
        </is>
      </c>
    </row>
    <row r="4" ht="15.75" customFormat="1" customHeight="1" s="16">
      <c r="A4" s="15" t="n"/>
      <c r="B4" s="15" t="n"/>
    </row>
    <row r="5" ht="15.75" customFormat="1" customHeight="1" s="16">
      <c r="A5" s="17" t="n"/>
    </row>
    <row r="6" ht="24" customFormat="1" customHeight="1" s="16">
      <c r="A6" s="548" t="inlineStr">
        <is>
          <t>ĐỀ NGHỊ CUNG CẤP HÓA CHẤT, DỤNG CỤ PHỤC VỤ THỰC TẬP</t>
        </is>
      </c>
    </row>
    <row r="7" ht="13.5" customFormat="1" customHeight="1" s="16">
      <c r="A7" s="17" t="n"/>
    </row>
    <row r="8" ht="15.75" customFormat="1" customHeight="1" s="16">
      <c r="B8" s="24" t="inlineStr">
        <is>
          <t xml:space="preserve">Kính gửi: </t>
        </is>
      </c>
    </row>
    <row r="9" ht="15.75" customFormat="1" customHeight="1" s="16">
      <c r="B9" s="24" t="n"/>
      <c r="C9" s="24" t="inlineStr">
        <is>
          <t>-           Ban Giám hiệu</t>
        </is>
      </c>
      <c r="D9" s="24" t="n"/>
      <c r="E9" s="24" t="n"/>
      <c r="F9" s="24" t="n"/>
      <c r="G9" s="24" t="n"/>
      <c r="H9" s="24" t="n"/>
      <c r="I9" s="24" t="n"/>
      <c r="J9" s="24" t="n"/>
      <c r="K9" s="24" t="n"/>
      <c r="L9" s="24" t="n"/>
      <c r="M9" s="24" t="n"/>
    </row>
    <row r="10" ht="15.75" customFormat="1" customHeight="1" s="16">
      <c r="B10" s="24" t="n"/>
      <c r="C10" s="24" t="inlineStr">
        <is>
          <t>-           Phòng Quản trị Thiết bị</t>
        </is>
      </c>
      <c r="D10" s="24" t="n"/>
      <c r="E10" s="24" t="n"/>
      <c r="F10" s="24" t="n"/>
      <c r="G10" s="24" t="n"/>
      <c r="H10" s="24" t="n"/>
      <c r="I10" s="24" t="n"/>
      <c r="J10" s="24" t="n"/>
      <c r="K10" s="24" t="n"/>
      <c r="L10" s="24" t="n"/>
      <c r="M10" s="24" t="n"/>
    </row>
    <row r="11" ht="15.75" customFormat="1" customHeight="1" s="16">
      <c r="B11" s="24" t="n"/>
      <c r="C11" s="109" t="inlineStr">
        <is>
          <t>-           Khoa Hóa học</t>
        </is>
      </c>
      <c r="D11" s="24" t="n"/>
      <c r="E11" s="24" t="n"/>
      <c r="F11" s="24" t="n"/>
      <c r="G11" s="24" t="n"/>
      <c r="H11" s="24" t="n"/>
      <c r="I11" s="540" t="n"/>
      <c r="J11" s="24" t="n"/>
      <c r="K11" s="24" t="n"/>
      <c r="L11" s="24" t="n"/>
      <c r="M11" s="24" t="n"/>
    </row>
    <row r="12" ht="15.75" customFormat="1" customHeight="1" s="16">
      <c r="B12" s="24" t="n"/>
      <c r="C12" s="24" t="n"/>
      <c r="D12" s="24" t="n"/>
      <c r="E12" s="24" t="n"/>
      <c r="F12" s="24" t="n"/>
      <c r="G12" s="24" t="n"/>
      <c r="H12" s="24" t="n"/>
      <c r="I12" s="540" t="n"/>
      <c r="J12" s="24" t="n"/>
      <c r="K12" s="24" t="n"/>
      <c r="L12" s="24" t="n"/>
      <c r="M12" s="24" t="n"/>
    </row>
    <row r="13" ht="15.75" customFormat="1" customHeight="1" s="16">
      <c r="A13" s="547" t="inlineStr">
        <is>
          <t xml:space="preserve">   Kính trình Ban Giám Hiệu, Phòng Quản trị Thiết bị duyệt cung cấp Hóa chất, dụng cụ cho Thực tập: </t>
        </is>
      </c>
    </row>
    <row r="14" ht="18.75" customFormat="1" customHeight="1" s="16">
      <c r="A14" s="21" t="n"/>
      <c r="B14" s="24" t="inlineStr">
        <is>
          <t>Tên thực tập: Công Nghệ Bao Bì</t>
        </is>
      </c>
      <c r="C14" s="540" t="n"/>
      <c r="E14" s="540" t="inlineStr">
        <is>
          <t>Học kỳ: 1</t>
        </is>
      </c>
      <c r="H14" s="540" t="n"/>
      <c r="I14" s="556" t="inlineStr">
        <is>
          <t>Năm học: 2026 - 2027</t>
        </is>
      </c>
    </row>
    <row r="15" ht="18.75" customFormat="1" customHeight="1" s="16">
      <c r="A15" s="21" t="n"/>
      <c r="B15" s="24" t="inlineStr">
        <is>
          <t>Mã thực tập: CHT10052</t>
        </is>
      </c>
      <c r="C15" s="145" t="n"/>
      <c r="D15" s="145" t="n"/>
      <c r="E15" s="144" t="inlineStr">
        <is>
          <t>Kinh phí thực tập dự trù: 10.000.000đ</t>
        </is>
      </c>
      <c r="F15" s="144" t="n"/>
      <c r="G15" s="100" t="n"/>
      <c r="H15" s="144" t="n"/>
      <c r="I15" s="145" t="n"/>
    </row>
    <row r="16" ht="18.75" customFormat="1" customHeight="1" s="16">
      <c r="A16" s="21" t="n"/>
      <c r="B16" s="147" t="inlineStr">
        <is>
          <t>Người  nhận hàng: Võ Phong Phú</t>
        </is>
      </c>
      <c r="C16" s="542" t="n"/>
      <c r="E16" s="542" t="inlineStr">
        <is>
          <t>SĐT: 0368 44 38 50</t>
        </is>
      </c>
      <c r="H16" s="542" t="n"/>
      <c r="I16" s="147" t="inlineStr">
        <is>
          <t>Địa chỉ nhận hàng: Tòa Nhà I, Phòng I65, 227 Nguyễn Văn Cừ</t>
        </is>
      </c>
    </row>
    <row r="17" ht="18.75" customFormat="1" customHeight="1" s="16">
      <c r="A17" s="21" t="n"/>
      <c r="C17" s="576" t="n"/>
      <c r="D17" s="576" t="n"/>
      <c r="E17" s="576" t="n"/>
      <c r="F17" s="576" t="n"/>
      <c r="G17" s="576" t="n"/>
      <c r="H17" s="576" t="n"/>
      <c r="I17" s="576" t="n"/>
    </row>
    <row r="18" ht="18.75" customFormat="1" customHeight="1" s="16">
      <c r="A18" s="551" t="inlineStr">
        <is>
          <t>Danh mục hóa chất, dụng cụ thực tập</t>
        </is>
      </c>
      <c r="B18" s="635" t="n"/>
      <c r="C18" s="635" t="n"/>
      <c r="D18" s="635" t="n"/>
      <c r="E18" s="635" t="n"/>
      <c r="F18" s="635" t="n"/>
      <c r="G18" s="635" t="n"/>
      <c r="H18" s="635" t="n"/>
      <c r="I18" s="635" t="n"/>
      <c r="J18" s="635" t="n"/>
      <c r="K18" s="635" t="n"/>
      <c r="L18" s="635" t="n"/>
      <c r="M18" s="635" t="n"/>
      <c r="N18" s="635" t="n"/>
      <c r="O18" s="635" t="n"/>
    </row>
    <row r="19" ht="63" customFormat="1" customHeight="1" s="16">
      <c r="A19" s="95" t="inlineStr">
        <is>
          <t>STT</t>
        </is>
      </c>
      <c r="B19" s="96" t="inlineStr">
        <is>
          <t>Danh mục hàng hóa</t>
        </is>
      </c>
      <c r="C19" s="96" t="inlineStr">
        <is>
          <t>Ký mã hiệu</t>
        </is>
      </c>
      <c r="D19" s="96" t="inlineStr">
        <is>
          <t>Nhãn hiệu</t>
        </is>
      </c>
      <c r="E19" s="96" t="inlineStr">
        <is>
          <t>Năm sản xuất</t>
        </is>
      </c>
      <c r="F19" s="96" t="inlineStr">
        <is>
          <t>Xuất xứ (quốc gia, vùng lãnh thổ)</t>
        </is>
      </c>
      <c r="G19" s="96" t="inlineStr">
        <is>
          <t>Hãng sản xuất</t>
        </is>
      </c>
      <c r="H19" s="96" t="inlineStr">
        <is>
          <t>Cấu hình, tính năng kỹ thuật cơ bản</t>
        </is>
      </c>
      <c r="I19" s="96" t="inlineStr">
        <is>
          <t>Đơn vị tính</t>
        </is>
      </c>
      <c r="J19" s="96" t="inlineStr">
        <is>
          <t>Khối lượng</t>
        </is>
      </c>
      <c r="K19" s="96" t="inlineStr">
        <is>
          <t>Đơn giá (VAT)</t>
        </is>
      </c>
      <c r="L19" s="96" t="inlineStr">
        <is>
          <t>Thành tiền (VAT)</t>
        </is>
      </c>
      <c r="M19" s="125" t="inlineStr">
        <is>
          <t>Thời Gian Giao Hàng</t>
        </is>
      </c>
      <c r="N19" s="96" t="inlineStr">
        <is>
          <t>Đơn vị cung cấp</t>
        </is>
      </c>
      <c r="O19" s="96" t="inlineStr">
        <is>
          <t>Mã thực tập</t>
        </is>
      </c>
    </row>
    <row r="20" ht="63" customFormat="1" customHeight="1" s="16">
      <c r="A20" s="66" t="n">
        <v>1</v>
      </c>
      <c r="B20" s="344" t="inlineStr">
        <is>
          <t>Ethanol, C2H5OH</t>
        </is>
      </c>
      <c r="C20" s="356" t="inlineStr">
        <is>
          <t>C2H5OH-96</t>
        </is>
      </c>
      <c r="D20" s="333" t="inlineStr">
        <is>
          <t>Chemsol</t>
        </is>
      </c>
      <c r="E20" s="293" t="n">
        <v>2025</v>
      </c>
      <c r="F20" s="333" t="inlineStr">
        <is>
          <t>Việt Nam</t>
        </is>
      </c>
      <c r="G20" s="293" t="inlineStr">
        <is>
          <t>VINA CHEM</t>
        </is>
      </c>
      <c r="H20" s="76" t="inlineStr">
        <is>
          <t>Nồng độ phần trăm: 96%
Dạng vật chất: Chất lỏng
Trong suốt, không màu, có mùi đặc trưng</t>
        </is>
      </c>
      <c r="I20" s="345" t="inlineStr">
        <is>
          <t>Chai/ 500ml</t>
        </is>
      </c>
      <c r="J20" s="67" t="n">
        <v>30</v>
      </c>
      <c r="K20" s="298" t="n">
        <v>60480</v>
      </c>
      <c r="L20" s="645">
        <f>K20*J20</f>
        <v/>
      </c>
      <c r="M20" s="532" t="inlineStr">
        <is>
          <t>60 ngày</t>
        </is>
      </c>
      <c r="N20" s="82" t="inlineStr">
        <is>
          <t>Cty NL</t>
        </is>
      </c>
      <c r="O20" s="83" t="inlineStr">
        <is>
          <t>7.HK1-CHT10052</t>
        </is>
      </c>
    </row>
    <row r="21" ht="63" customFormat="1" customHeight="1" s="16">
      <c r="A21" s="66" t="n">
        <v>2</v>
      </c>
      <c r="B21" s="344" t="inlineStr">
        <is>
          <t>Chai trung tính trắng có nắp vặn 100ML-GL45</t>
        </is>
      </c>
      <c r="C21" s="293" t="inlineStr">
        <is>
          <t>BLS.1105.03</t>
        </is>
      </c>
      <c r="D21" s="333" t="inlineStr">
        <is>
          <t>Biohall Germany</t>
        </is>
      </c>
      <c r="E21" s="293" t="n">
        <v>2025</v>
      </c>
      <c r="F21" s="333" t="inlineStr">
        <is>
          <t>Ấn Độ</t>
        </is>
      </c>
      <c r="G21" s="293" t="inlineStr">
        <is>
          <t>Biohall</t>
        </is>
      </c>
      <c r="H21" s="344" t="inlineStr">
        <is>
          <t>Vật liệu: Thủy tinh boro 3.3, nắp vặn nhựa PE
Dung tích: 100 ml
Tiêu chuẩn: DIN/ISO 4796</t>
        </is>
      </c>
      <c r="I21" s="345" t="inlineStr">
        <is>
          <t>Cái</t>
        </is>
      </c>
      <c r="J21" s="67" t="n">
        <v>4</v>
      </c>
      <c r="K21" s="257" t="n">
        <v>75600</v>
      </c>
      <c r="L21" s="646">
        <f>K21*J21</f>
        <v/>
      </c>
      <c r="M21" s="257" t="inlineStr">
        <is>
          <t>30 ngày</t>
        </is>
      </c>
      <c r="N21" s="82" t="inlineStr">
        <is>
          <t>Cty NL</t>
        </is>
      </c>
      <c r="O21" s="83" t="inlineStr">
        <is>
          <t>7.HK1-CHT10052</t>
        </is>
      </c>
    </row>
    <row r="22" ht="63" customFormat="1" customHeight="1" s="16">
      <c r="A22" s="66" t="n">
        <v>3</v>
      </c>
      <c r="B22" s="344" t="inlineStr">
        <is>
          <t>Đầu lọc nhựa syringe PTFE Hydrophilic 25mm 0.45um</t>
        </is>
      </c>
      <c r="C22" s="293" t="inlineStr">
        <is>
          <t>C0000609</t>
        </is>
      </c>
      <c r="D22" s="300" t="inlineStr">
        <is>
          <t>ALWSCI</t>
        </is>
      </c>
      <c r="E22" s="293" t="n">
        <v>2025</v>
      </c>
      <c r="F22" s="300" t="inlineStr">
        <is>
          <t>Trung Quốc</t>
        </is>
      </c>
      <c r="G22" s="333" t="inlineStr">
        <is>
          <t>ALWSCI Technologies Co., Ltd</t>
        </is>
      </c>
      <c r="H22" s="312" t="inlineStr">
        <is>
          <t>Vật liệu màng lọc: PTFE Hydrophilic
Đường kính: 25mm
Kích thước lỗ lọc: 0,45µm</t>
        </is>
      </c>
      <c r="I22" s="345" t="inlineStr">
        <is>
          <t>Hộp/ 100 cái</t>
        </is>
      </c>
      <c r="J22" s="67" t="n">
        <v>1</v>
      </c>
      <c r="K22" s="257" t="n">
        <v>319680</v>
      </c>
      <c r="L22" s="646">
        <f>K22*J22</f>
        <v/>
      </c>
      <c r="M22" s="257" t="inlineStr">
        <is>
          <t>30 ngày</t>
        </is>
      </c>
      <c r="N22" s="82" t="inlineStr">
        <is>
          <t>Cty NL</t>
        </is>
      </c>
      <c r="O22" s="83" t="inlineStr">
        <is>
          <t>7.HK1-CHT10052</t>
        </is>
      </c>
    </row>
    <row r="23" ht="47.25" customFormat="1" customHeight="1" s="16">
      <c r="A23" s="66" t="n">
        <v>4</v>
      </c>
      <c r="B23" s="344" t="inlineStr">
        <is>
          <t>Sóng lưới lớn 55 x 36.5 x 11 cm</t>
        </is>
      </c>
      <c r="C23" s="293" t="inlineStr">
        <is>
          <t>No.710</t>
        </is>
      </c>
      <c r="D23" s="333" t="inlineStr">
        <is>
          <t>Duy Tân</t>
        </is>
      </c>
      <c r="E23" s="293" t="n">
        <v>2025</v>
      </c>
      <c r="F23" s="333" t="inlineStr">
        <is>
          <t>Việt Nam</t>
        </is>
      </c>
      <c r="G23" s="65" t="inlineStr">
        <is>
          <t xml:space="preserve"> Duy Tân</t>
        </is>
      </c>
      <c r="H23" s="344" t="inlineStr">
        <is>
          <t>Kích thước: 55 x 36.5 x 11 cm
Vật liệu: nhựa PP</t>
        </is>
      </c>
      <c r="I23" s="345" t="inlineStr">
        <is>
          <t>Cái</t>
        </is>
      </c>
      <c r="J23" s="67" t="n">
        <v>5</v>
      </c>
      <c r="K23" s="257" t="n">
        <v>58320</v>
      </c>
      <c r="L23" s="646">
        <f>K23*J23</f>
        <v/>
      </c>
      <c r="M23" s="532" t="inlineStr">
        <is>
          <t>60 ngày</t>
        </is>
      </c>
      <c r="N23" s="82" t="inlineStr">
        <is>
          <t>Cty NL</t>
        </is>
      </c>
      <c r="O23" s="83" t="inlineStr">
        <is>
          <t>7.HK1-CHT10052</t>
        </is>
      </c>
    </row>
    <row r="24" ht="267.75" customFormat="1" customHeight="1" s="16">
      <c r="A24" s="66" t="n">
        <v>5</v>
      </c>
      <c r="B24" s="344" t="inlineStr">
        <is>
          <t>Dụng cụ sấy 43L</t>
        </is>
      </c>
      <c r="C24" s="293" t="inlineStr">
        <is>
          <t>KH-35A</t>
        </is>
      </c>
      <c r="D24" s="333" t="inlineStr">
        <is>
          <t>KENTON</t>
        </is>
      </c>
      <c r="E24" s="293" t="n">
        <v>2025</v>
      </c>
      <c r="F24" s="333" t="inlineStr">
        <is>
          <t>Trung Quốc</t>
        </is>
      </c>
      <c r="G24" s="333" t="inlineStr">
        <is>
          <t>KENTON</t>
        </is>
      </c>
      <c r="H24" s="344" t="inlineStr">
        <is>
          <t>Kích thước buồng sấy:  350 x 350 x 350 mm, làm bằng thép mạ kẽm
Điều chỉnh nhiệt độ:  Nhiệt độ môi trường(RT) + 5°C đến tối đa 300°C
Độ phân giải nhiệt độ: ± 1°C
Hẹn giờ sấy: 0 – 999 phút
Cài đặt nhiệt độ bằng nút bấm + màn hình LED hiển thị số
Đối lưu không khí bằng quạt thổi tự động
Điện thế sử dụng:  AC 220 V 50/60Hz
Công suất: 1200 W</t>
        </is>
      </c>
      <c r="I24" s="345" t="inlineStr">
        <is>
          <t>Cái</t>
        </is>
      </c>
      <c r="J24" s="67" t="n">
        <v>1</v>
      </c>
      <c r="K24" s="120" t="n">
        <v>6912000</v>
      </c>
      <c r="L24" s="120" t="n">
        <v>6912000</v>
      </c>
      <c r="M24" s="533" t="inlineStr">
        <is>
          <t>90 ngày</t>
        </is>
      </c>
      <c r="N24" s="82" t="inlineStr">
        <is>
          <t>Cty NL</t>
        </is>
      </c>
      <c r="O24" s="83" t="inlineStr">
        <is>
          <t>7.HK1-CHT10052</t>
        </is>
      </c>
    </row>
    <row r="25" ht="78.75" customFormat="1" customHeight="1" s="16">
      <c r="A25" s="66" t="n">
        <v>6</v>
      </c>
      <c r="B25" s="344" t="inlineStr">
        <is>
          <t>Giấy PH 1-14</t>
        </is>
      </c>
      <c r="C25" s="350" t="inlineStr">
        <is>
          <t>PHT1-14</t>
        </is>
      </c>
      <c r="D25" s="333" t="inlineStr">
        <is>
          <t>Newstar</t>
        </is>
      </c>
      <c r="E25" s="293" t="n">
        <v>2025</v>
      </c>
      <c r="F25" s="333" t="inlineStr">
        <is>
          <t>Trung Quốc</t>
        </is>
      </c>
      <c r="G25" s="350" t="inlineStr">
        <is>
          <t>Hangzhou Special Paper Industry Co.,Ltd</t>
        </is>
      </c>
      <c r="H25" s="355" t="inlineStr">
        <is>
          <t>Dãy so màu: 1-14
Tập: 80 test</t>
        </is>
      </c>
      <c r="I25" s="345" t="inlineStr">
        <is>
          <t>Tập/ 80 test</t>
        </is>
      </c>
      <c r="J25" s="67" t="n">
        <v>5</v>
      </c>
      <c r="K25" s="257" t="n">
        <v>6804</v>
      </c>
      <c r="L25" s="120">
        <f>K25*J25</f>
        <v/>
      </c>
      <c r="M25" s="120" t="inlineStr">
        <is>
          <t>30 ngày</t>
        </is>
      </c>
      <c r="N25" s="82" t="inlineStr">
        <is>
          <t>Cty NL</t>
        </is>
      </c>
      <c r="O25" s="83" t="inlineStr">
        <is>
          <t>7.HK1-CHT10052</t>
        </is>
      </c>
    </row>
    <row r="26" ht="63" customFormat="1" customHeight="1" s="16">
      <c r="A26" s="66" t="n">
        <v>7</v>
      </c>
      <c r="B26" s="344" t="inlineStr">
        <is>
          <t>Nhựa in 3D PETG màu trong suốt</t>
        </is>
      </c>
      <c r="C26" s="293" t="inlineStr">
        <is>
          <t>3D PETG</t>
        </is>
      </c>
      <c r="D26" s="333" t="inlineStr">
        <is>
          <t>Onelab</t>
        </is>
      </c>
      <c r="E26" s="293" t="n">
        <v>2025</v>
      </c>
      <c r="F26" s="333" t="inlineStr">
        <is>
          <t>Trung Quốc</t>
        </is>
      </c>
      <c r="G26" s="293" t="inlineStr">
        <is>
          <t>Zhejiang Huili</t>
        </is>
      </c>
      <c r="H26" s="344" t="inlineStr">
        <is>
          <t>Khả năng truyền sáng đặc sắc và độ dẻo dai vượt trội
Sợi nhựa đảm bảo độ kết dính giữa các lớp cực cao</t>
        </is>
      </c>
      <c r="I26" s="345" t="inlineStr">
        <is>
          <t>Cuộn</t>
        </is>
      </c>
      <c r="J26" s="67" t="n">
        <v>1</v>
      </c>
      <c r="K26" s="257" t="n">
        <v>324000</v>
      </c>
      <c r="L26" s="646">
        <f>K26*J26</f>
        <v/>
      </c>
      <c r="M26" s="533" t="inlineStr">
        <is>
          <t>90 ngày</t>
        </is>
      </c>
      <c r="N26" s="82" t="inlineStr">
        <is>
          <t>Cty NL</t>
        </is>
      </c>
      <c r="O26" s="83" t="inlineStr">
        <is>
          <t>7.HK1-CHT10052</t>
        </is>
      </c>
    </row>
    <row r="27" ht="15.75" customFormat="1" customHeight="1" s="16">
      <c r="A27" s="552" t="inlineStr">
        <is>
          <t>TỔNG CỘNG BAO GỒM VAT</t>
        </is>
      </c>
      <c r="B27" s="642" t="n"/>
      <c r="C27" s="642" t="n"/>
      <c r="D27" s="642" t="n"/>
      <c r="E27" s="642" t="n"/>
      <c r="F27" s="642" t="n"/>
      <c r="G27" s="642" t="n"/>
      <c r="H27" s="642" t="n"/>
      <c r="I27" s="642" t="n"/>
      <c r="J27" s="642" t="n"/>
      <c r="K27" s="643" t="n"/>
      <c r="L27" s="644">
        <f>SUM(L20:L26)</f>
        <v/>
      </c>
      <c r="M27" s="37" t="n"/>
      <c r="N27" s="37" t="n"/>
    </row>
    <row r="28" ht="15.75" customFormat="1" customHeight="1" s="16">
      <c r="B28" s="24" t="n"/>
      <c r="I28" s="94" t="n"/>
    </row>
    <row r="29" ht="15.75" customFormat="1" customHeight="1" s="16">
      <c r="I29" s="553" t="inlineStr">
        <is>
          <t xml:space="preserve">        Ngày….tháng…năm …..</t>
        </is>
      </c>
      <c r="L29" s="24" t="n"/>
    </row>
    <row r="30" ht="15.75" customFormat="1" customHeight="1" s="16">
      <c r="C30" s="554" t="inlineStr">
        <is>
          <t>Trưởng Khoa</t>
        </is>
      </c>
      <c r="E30" s="26" t="n"/>
      <c r="F30" s="26" t="n"/>
      <c r="G30" s="554" t="n"/>
      <c r="H30" s="554" t="n"/>
      <c r="I30" s="554" t="inlineStr">
        <is>
          <t>Trưởng thực tập/Trưởng BM</t>
        </is>
      </c>
      <c r="L30" s="26" t="n"/>
    </row>
    <row r="31" ht="15.75" customFormat="1" customHeight="1" s="16">
      <c r="A31" s="27" t="n"/>
      <c r="I31" s="94" t="n"/>
    </row>
    <row r="32" ht="15.75" customFormat="1" customHeight="1" s="16">
      <c r="I32" s="94" t="n"/>
    </row>
    <row r="33" ht="15.75" customFormat="1" customHeight="1" s="16">
      <c r="I33" s="94" t="n"/>
    </row>
    <row r="34" ht="15.75" customFormat="1" customHeight="1" s="16">
      <c r="I34" s="94" t="n"/>
    </row>
    <row r="35" ht="15.75" customFormat="1" customHeight="1" s="16">
      <c r="C35" s="549" t="n"/>
      <c r="I35" s="549" t="inlineStr">
        <is>
          <t>Võ Phong Phú</t>
        </is>
      </c>
    </row>
    <row r="36" ht="52.5" customFormat="1" customHeight="1" s="16">
      <c r="C36" s="550" t="inlineStr">
        <is>
          <t>Hiệu Trưởng</t>
        </is>
      </c>
      <c r="E36" s="27" t="n"/>
      <c r="F36" s="27" t="n"/>
      <c r="G36" s="550" t="n"/>
      <c r="H36" s="550" t="n"/>
      <c r="I36" s="550" t="inlineStr">
        <is>
          <t>Trưởng phòng
Phòng Quản trị Thiết bị</t>
        </is>
      </c>
      <c r="L36" s="27" t="n"/>
    </row>
    <row r="37" ht="15.75" customFormat="1" customHeight="1" s="16"/>
    <row r="38" ht="15.75" customFormat="1" customHeight="1" s="16"/>
    <row r="39" ht="15.75" customFormat="1" customHeight="1" s="16"/>
    <row r="40" ht="15.75" customFormat="1" customHeight="1" s="16"/>
  </sheetData>
  <mergeCells count="21">
    <mergeCell ref="C30:D30"/>
    <mergeCell ref="I2:M2"/>
    <mergeCell ref="C14:D14"/>
    <mergeCell ref="A3:C3"/>
    <mergeCell ref="E14:F14"/>
    <mergeCell ref="A18:O18"/>
    <mergeCell ref="C35:D35"/>
    <mergeCell ref="A13:M13"/>
    <mergeCell ref="C16:D16"/>
    <mergeCell ref="I14:K14"/>
    <mergeCell ref="I35:K35"/>
    <mergeCell ref="I29:K29"/>
    <mergeCell ref="A27:K27"/>
    <mergeCell ref="I3:M3"/>
    <mergeCell ref="A6:M6"/>
    <mergeCell ref="L1:M1"/>
    <mergeCell ref="C36:D36"/>
    <mergeCell ref="I30:K30"/>
    <mergeCell ref="E16:F16"/>
    <mergeCell ref="I36:K36"/>
    <mergeCell ref="A2:D2"/>
  </mergeCells>
  <dataValidations count="1">
    <dataValidation sqref="G27:G36" showDropDown="0" showInputMessage="0" showErrorMessage="1" allowBlank="0" errorTitle="Lưu ý" error="Nhập số nguyên lớn hơn 0 và nhỏ hơn 999,999,999,999,999" promptTitle="Lưu ý" prompt="Nhập số nguyên lớn hơn 0 và nhỏ hơn 999,999,999,999,999" type="whole">
      <formula1>0</formula1>
      <formula2>999999999999999</formula2>
    </dataValidation>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O33"/>
  <sheetViews>
    <sheetView tabSelected="0" zoomScale="70" zoomScaleNormal="70" workbookViewId="0">
      <selection activeCell="A1" sqref="A1:XFD13"/>
    </sheetView>
  </sheetViews>
  <sheetFormatPr baseColWidth="8" defaultRowHeight="15"/>
  <cols>
    <col width="6.42578125" customWidth="1" style="563" min="1" max="1"/>
    <col width="29" customWidth="1" style="563" min="2" max="2"/>
    <col width="11" customWidth="1" style="563" min="3" max="3"/>
    <col width="8.7109375" customWidth="1" style="563" min="4" max="4"/>
    <col width="9.5703125" customWidth="1" style="563" min="5" max="5"/>
    <col width="11" customWidth="1" style="563" min="6" max="6"/>
    <col width="13.85546875" customWidth="1" style="563" min="7" max="7"/>
    <col width="24.28515625" customWidth="1" style="563" min="8" max="8"/>
    <col width="9.42578125" customWidth="1" style="563" min="9" max="9"/>
    <col width="10.85546875" customWidth="1" style="563" min="10" max="10"/>
    <col width="12.42578125" customWidth="1" style="563" min="11" max="11"/>
    <col width="14.28515625" bestFit="1" customWidth="1" style="563" min="12" max="12"/>
    <col width="16.42578125" customWidth="1" style="563" min="14" max="14"/>
    <col width="11.85546875" customWidth="1" style="563" min="15" max="15"/>
  </cols>
  <sheetData>
    <row r="1" ht="30.75" customHeight="1" s="563" thickBot="1">
      <c r="K1" s="97" t="n"/>
      <c r="L1" s="544" t="inlineStr">
        <is>
          <t>BM16.QTTB</t>
        </is>
      </c>
      <c r="M1" s="631" t="n"/>
      <c r="N1" s="98" t="n"/>
    </row>
    <row r="2" ht="22.5" customHeight="1" s="563">
      <c r="A2" s="543" t="inlineStr">
        <is>
          <t>TRƯỜNG ĐẠI HỌC KHOA HỌC TỰ NHIÊN</t>
        </is>
      </c>
      <c r="E2" s="543" t="n"/>
      <c r="F2" s="14" t="n"/>
      <c r="G2" s="14" t="n"/>
      <c r="H2" s="14" t="n"/>
      <c r="I2" s="543" t="inlineStr">
        <is>
          <t>CỘNG HÒA XÃ HỘI CHỦ NGHĨA VIỆT NAM</t>
        </is>
      </c>
    </row>
    <row r="3" ht="16.5" customHeight="1" s="563">
      <c r="A3" s="543" t="inlineStr">
        <is>
          <t>ĐƠN VỊ:……...............................</t>
        </is>
      </c>
      <c r="D3" s="543" t="n"/>
      <c r="E3" s="543" t="n"/>
      <c r="I3" s="546" t="inlineStr">
        <is>
          <t>Độc lập - Tự do - Hạnh phúc</t>
        </is>
      </c>
    </row>
    <row r="4" ht="15.75" customFormat="1" customHeight="1" s="16">
      <c r="A4" s="15" t="n"/>
      <c r="B4" s="15" t="n"/>
    </row>
    <row r="5" ht="15.75" customFormat="1" customHeight="1" s="16">
      <c r="A5" s="17" t="n"/>
    </row>
    <row r="6" ht="24" customFormat="1" customHeight="1" s="16">
      <c r="A6" s="548" t="inlineStr">
        <is>
          <t>ĐỀ NGHỊ CUNG CẤP HÓA CHẤT, DỤNG CỤ PHỤC VỤ THỰC TẬP</t>
        </is>
      </c>
    </row>
    <row r="7" ht="13.5" customFormat="1" customHeight="1" s="16">
      <c r="A7" s="17" t="n"/>
    </row>
    <row r="8" ht="15.75" customFormat="1" customHeight="1" s="16">
      <c r="B8" s="24" t="inlineStr">
        <is>
          <t xml:space="preserve">Kính gửi: </t>
        </is>
      </c>
    </row>
    <row r="9" ht="15.75" customFormat="1" customHeight="1" s="16">
      <c r="B9" s="24" t="n"/>
      <c r="C9" s="24" t="inlineStr">
        <is>
          <t>-           Ban Giám hiệu</t>
        </is>
      </c>
      <c r="D9" s="24" t="n"/>
      <c r="E9" s="24" t="n"/>
      <c r="F9" s="24" t="n"/>
      <c r="G9" s="24" t="n"/>
      <c r="H9" s="24" t="n"/>
      <c r="I9" s="24" t="n"/>
      <c r="J9" s="24" t="n"/>
      <c r="K9" s="24" t="n"/>
      <c r="L9" s="24" t="n"/>
      <c r="M9" s="24" t="n"/>
    </row>
    <row r="10" ht="15.75" customFormat="1" customHeight="1" s="16">
      <c r="B10" s="24" t="n"/>
      <c r="C10" s="24" t="inlineStr">
        <is>
          <t>-           Phòng Quản trị Thiết bị</t>
        </is>
      </c>
      <c r="D10" s="24" t="n"/>
      <c r="E10" s="24" t="n"/>
      <c r="F10" s="24" t="n"/>
      <c r="G10" s="24" t="n"/>
      <c r="H10" s="24" t="n"/>
      <c r="I10" s="24" t="n"/>
      <c r="J10" s="24" t="n"/>
      <c r="K10" s="24" t="n"/>
      <c r="L10" s="24" t="n"/>
      <c r="M10" s="24" t="n"/>
    </row>
    <row r="11" ht="15.75" customFormat="1" customHeight="1" s="16">
      <c r="B11" s="24" t="n"/>
      <c r="C11" s="109" t="inlineStr">
        <is>
          <t>-           Khoa Hóa học</t>
        </is>
      </c>
      <c r="D11" s="24" t="n"/>
      <c r="E11" s="24" t="n"/>
      <c r="F11" s="24" t="n"/>
      <c r="G11" s="24" t="n"/>
      <c r="H11" s="24" t="n"/>
      <c r="I11" s="540" t="n"/>
      <c r="J11" s="24" t="n"/>
      <c r="K11" s="24" t="n"/>
      <c r="L11" s="24" t="n"/>
      <c r="M11" s="24" t="n"/>
    </row>
    <row r="12" ht="15.75" customFormat="1" customHeight="1" s="16">
      <c r="B12" s="24" t="n"/>
      <c r="C12" s="24" t="n"/>
      <c r="D12" s="24" t="n"/>
      <c r="E12" s="24" t="n"/>
      <c r="F12" s="24" t="n"/>
      <c r="G12" s="24" t="n"/>
      <c r="H12" s="24" t="n"/>
      <c r="I12" s="540" t="n"/>
      <c r="J12" s="24" t="n"/>
      <c r="K12" s="24" t="n"/>
      <c r="L12" s="24" t="n"/>
      <c r="M12" s="24" t="n"/>
    </row>
    <row r="13" ht="15.75" customFormat="1" customHeight="1" s="16">
      <c r="A13" s="547" t="inlineStr">
        <is>
          <t xml:space="preserve">   Kính trình Ban Giám Hiệu, Phòng Quản trị Thiết bị duyệt cung cấp Hóa chất, dụng cụ cho Thực tập: </t>
        </is>
      </c>
    </row>
    <row r="14" ht="18.75" customFormat="1" customHeight="1" s="16">
      <c r="A14" s="21" t="n"/>
      <c r="B14" s="24" t="inlineStr">
        <is>
          <t>Tên thực tập: Hóa học các hợp chất thiên nhiên</t>
        </is>
      </c>
      <c r="E14" s="540" t="inlineStr">
        <is>
          <t>Học kỳ: 2</t>
        </is>
      </c>
      <c r="I14" s="89" t="n"/>
      <c r="J14" s="556" t="inlineStr">
        <is>
          <t>Năm học: 2026 - 2027</t>
        </is>
      </c>
    </row>
    <row r="15" ht="18.75" customFormat="1" customHeight="1" s="16">
      <c r="A15" s="21" t="n"/>
      <c r="B15" s="24" t="inlineStr">
        <is>
          <t>Mã thực tập: CHT10102</t>
        </is>
      </c>
      <c r="E15" s="144" t="inlineStr">
        <is>
          <t>Kinh phí thực tập dự trù: 16.000.000đ</t>
        </is>
      </c>
      <c r="F15" s="144" t="n"/>
      <c r="H15" s="24" t="n"/>
      <c r="I15" s="24" t="n"/>
      <c r="J15" s="145" t="n"/>
      <c r="K15" s="145" t="n"/>
      <c r="L15" s="24" t="n"/>
    </row>
    <row r="16" ht="18.75" customFormat="1" customHeight="1" s="16">
      <c r="A16" s="21" t="n"/>
      <c r="B16" s="147" t="inlineStr">
        <is>
          <t>Người  nhận hàng: Đặng Hoàng Phú</t>
        </is>
      </c>
      <c r="E16" s="542" t="inlineStr">
        <is>
          <t>SĐT: 0938318627</t>
        </is>
      </c>
      <c r="H16" s="542" t="n"/>
      <c r="I16" s="542" t="n"/>
      <c r="J16" s="147" t="inlineStr">
        <is>
          <t>Địa chỉ nhận hàng: Lầu 5, tòa nhà C22, Linh Trung, Thủ Đức</t>
        </is>
      </c>
      <c r="K16" s="542" t="n"/>
      <c r="L16" s="542" t="n"/>
    </row>
    <row r="17" ht="18.75" customFormat="1" customHeight="1" s="16">
      <c r="A17" s="21" t="n"/>
      <c r="C17" s="576" t="n"/>
      <c r="D17" s="576" t="n"/>
      <c r="E17" s="576" t="n"/>
      <c r="F17" s="576" t="n"/>
      <c r="G17" s="576" t="n"/>
      <c r="H17" s="576" t="n"/>
      <c r="I17" s="576" t="n"/>
    </row>
    <row r="18" ht="18.75" customFormat="1" customHeight="1" s="16">
      <c r="A18" s="551" t="inlineStr">
        <is>
          <t>Danh mục hóa chất, dụng cụ thực tập</t>
        </is>
      </c>
      <c r="B18" s="635" t="n"/>
      <c r="C18" s="635" t="n"/>
      <c r="D18" s="635" t="n"/>
      <c r="E18" s="635" t="n"/>
      <c r="F18" s="635" t="n"/>
      <c r="G18" s="635" t="n"/>
      <c r="H18" s="635" t="n"/>
      <c r="I18" s="635" t="n"/>
      <c r="J18" s="635" t="n"/>
      <c r="K18" s="635" t="n"/>
      <c r="L18" s="635" t="n"/>
      <c r="M18" s="635" t="n"/>
      <c r="N18" s="635" t="n"/>
      <c r="O18" s="635" t="n"/>
    </row>
    <row r="19" ht="63" customFormat="1" customHeight="1" s="16">
      <c r="A19" s="95" t="inlineStr">
        <is>
          <t>STT</t>
        </is>
      </c>
      <c r="B19" s="96" t="inlineStr">
        <is>
          <t>Danh mục hàng hóa</t>
        </is>
      </c>
      <c r="C19" s="96" t="inlineStr">
        <is>
          <t>Ký mã hiệu</t>
        </is>
      </c>
      <c r="D19" s="96" t="inlineStr">
        <is>
          <t>Nhãn hiệu</t>
        </is>
      </c>
      <c r="E19" s="96" t="inlineStr">
        <is>
          <t>Năm sản xuất</t>
        </is>
      </c>
      <c r="F19" s="96" t="inlineStr">
        <is>
          <t>Xuất xứ (quốc gia, vùng lãnh thổ)</t>
        </is>
      </c>
      <c r="G19" s="96" t="inlineStr">
        <is>
          <t>Hãng sản xuất</t>
        </is>
      </c>
      <c r="H19" s="96" t="inlineStr">
        <is>
          <t>Cấu hình, tính năng kỹ thuật cơ bản</t>
        </is>
      </c>
      <c r="I19" s="96" t="inlineStr">
        <is>
          <t>Đơn vị tính</t>
        </is>
      </c>
      <c r="J19" s="96" t="inlineStr">
        <is>
          <t>Khối lượng</t>
        </is>
      </c>
      <c r="K19" s="96" t="inlineStr">
        <is>
          <t>Đơn giá (VAT)</t>
        </is>
      </c>
      <c r="L19" s="96" t="inlineStr">
        <is>
          <t>Thành tiền (VAT)</t>
        </is>
      </c>
      <c r="M19" s="125" t="inlineStr">
        <is>
          <t>Thời Gian Giao Hàng</t>
        </is>
      </c>
      <c r="N19" s="96" t="inlineStr">
        <is>
          <t>Đơn vị cung cấp</t>
        </is>
      </c>
      <c r="O19" s="96" t="inlineStr">
        <is>
          <t>Mã thực tập</t>
        </is>
      </c>
    </row>
    <row r="20" ht="30" customFormat="1" customHeight="1" s="16">
      <c r="A20" s="78" t="n">
        <v>1</v>
      </c>
      <c r="B20" s="102" t="inlineStr">
        <is>
          <t>Ống hút pipet pasteur thủy tinh 145mm</t>
        </is>
      </c>
      <c r="C20" s="80" t="n"/>
      <c r="D20" s="80" t="inlineStr">
        <is>
          <t>ONELAB</t>
        </is>
      </c>
      <c r="G20" s="126" t="inlineStr">
        <is>
          <t>Trung Quốc</t>
        </is>
      </c>
      <c r="I20" s="307" t="inlineStr">
        <is>
          <t>Hộp/ 250 cái</t>
        </is>
      </c>
      <c r="J20" s="268" t="n">
        <v>1</v>
      </c>
      <c r="K20" s="446" t="n">
        <v>285120</v>
      </c>
      <c r="L20" s="637">
        <f>K20*J20</f>
        <v/>
      </c>
      <c r="M20" s="263" t="inlineStr">
        <is>
          <t>30 ngày</t>
        </is>
      </c>
      <c r="N20" s="332" t="inlineStr">
        <is>
          <t>Cty NL</t>
        </is>
      </c>
      <c r="O20" s="104" t="inlineStr">
        <is>
          <t>10.HK2-CHT10102</t>
        </is>
      </c>
    </row>
    <row r="21" ht="47.25" customFormat="1" customHeight="1" s="16">
      <c r="A21" s="78" t="n">
        <v>2</v>
      </c>
      <c r="B21" s="344" t="inlineStr">
        <is>
          <t xml:space="preserve">Quả bóp silicon 2ml </t>
        </is>
      </c>
      <c r="C21" s="350" t="inlineStr">
        <is>
          <t>US-C38795-0002PT</t>
        </is>
      </c>
      <c r="D21" s="333" t="inlineStr">
        <is>
          <t>ONELAB</t>
        </is>
      </c>
      <c r="E21" s="293" t="n">
        <v>2025</v>
      </c>
      <c r="F21" s="333" t="inlineStr">
        <is>
          <t>Trung Quốc</t>
        </is>
      </c>
      <c r="G21" s="65" t="inlineStr">
        <is>
          <t>Zhejiang Huili</t>
        </is>
      </c>
      <c r="H21" s="355" t="inlineStr">
        <is>
          <t>Vật liệu: Silicon
Dung tích hút: 2 ml</t>
        </is>
      </c>
      <c r="I21" s="345" t="inlineStr">
        <is>
          <t>Cái</t>
        </is>
      </c>
      <c r="J21" s="268" t="n">
        <v>20</v>
      </c>
      <c r="K21" s="269" t="n">
        <v>11880</v>
      </c>
      <c r="L21" s="637">
        <f>K21*J21</f>
        <v/>
      </c>
      <c r="M21" s="331" t="inlineStr">
        <is>
          <t>30 ngày</t>
        </is>
      </c>
      <c r="N21" s="332" t="inlineStr">
        <is>
          <t>Cty NL</t>
        </is>
      </c>
      <c r="O21" s="83" t="inlineStr">
        <is>
          <t>10.HK2-CHT10102</t>
        </is>
      </c>
    </row>
    <row r="22" ht="78.75" customFormat="1" customHeight="1" s="16">
      <c r="A22" s="78" t="n">
        <v>3</v>
      </c>
      <c r="B22" s="344" t="inlineStr">
        <is>
          <t>Trisodium phosphate dodecahydrate, Na3PO4.12H2O</t>
        </is>
      </c>
      <c r="C22" s="358" t="inlineStr">
        <is>
          <t>1.01400.010</t>
        </is>
      </c>
      <c r="D22" s="74" t="inlineStr">
        <is>
          <t xml:space="preserve"> GHTECH</t>
        </is>
      </c>
      <c r="E22" s="293" t="n">
        <v>2025</v>
      </c>
      <c r="F22" s="333" t="inlineStr">
        <is>
          <t>Trung Quốc</t>
        </is>
      </c>
      <c r="G22" s="74" t="inlineStr">
        <is>
          <t>Guangdong Guanghua Sci-Tech Co., Ltd.</t>
        </is>
      </c>
      <c r="H22" s="344" t="inlineStr">
        <is>
          <t>Dạng vật chất: Tinh thể không màu, dễ bị phong hóa trong không khí khô.
Tỷ trọng tương đối (nước = 1): 1,62</t>
        </is>
      </c>
      <c r="I22" s="345" t="inlineStr">
        <is>
          <t>Chai/ 500 gam</t>
        </is>
      </c>
      <c r="J22" s="271" t="n">
        <v>1</v>
      </c>
      <c r="K22" s="257" t="n">
        <v>116640</v>
      </c>
      <c r="L22" s="272">
        <f>K22*J22</f>
        <v/>
      </c>
      <c r="M22" s="331" t="inlineStr">
        <is>
          <t>30 ngày</t>
        </is>
      </c>
      <c r="N22" s="332" t="inlineStr">
        <is>
          <t>Cty NL</t>
        </is>
      </c>
      <c r="O22" s="83" t="inlineStr">
        <is>
          <t>10.HK2-CHT10102</t>
        </is>
      </c>
    </row>
    <row r="23" ht="110.25" customFormat="1" customHeight="1" s="16">
      <c r="A23" s="78" t="n">
        <v>4</v>
      </c>
      <c r="B23" s="344" t="inlineStr">
        <is>
          <t>Bảng mỏng sắc ký 200*200mm, Silicagel 60, F254</t>
        </is>
      </c>
      <c r="C23" s="293" t="n">
        <v>1055540001</v>
      </c>
      <c r="D23" s="333" t="inlineStr">
        <is>
          <t>Merck</t>
        </is>
      </c>
      <c r="E23" s="293" t="n">
        <v>2025</v>
      </c>
      <c r="F23" s="333" t="inlineStr">
        <is>
          <t>Đức</t>
        </is>
      </c>
      <c r="G23" s="65" t="inlineStr">
        <is>
          <t>Merck</t>
        </is>
      </c>
      <c r="H23" s="360" t="inlineStr">
        <is>
          <t>Tấm TLC nhôm, silica gel phủ chỉ thị huỳnh quang F254. Các tấm TLC silica gel có số lượng 25 tấm kích thước 20x20 cm dùng cho ứng dụng sắc ký lớp mỏng.</t>
        </is>
      </c>
      <c r="I23" s="345" t="inlineStr">
        <is>
          <t>Hộp/ 25 tờ</t>
        </is>
      </c>
      <c r="J23" s="234" t="n">
        <v>7</v>
      </c>
      <c r="K23" s="257" t="n">
        <v>2187000</v>
      </c>
      <c r="L23" s="272">
        <f>K23*J23</f>
        <v/>
      </c>
      <c r="M23" s="533" t="inlineStr">
        <is>
          <t>90 ngày</t>
        </is>
      </c>
      <c r="N23" s="332" t="inlineStr">
        <is>
          <t>Cty NL</t>
        </is>
      </c>
      <c r="O23" s="83" t="inlineStr">
        <is>
          <t>10.HK2-CHT10102</t>
        </is>
      </c>
    </row>
    <row r="24" ht="15.75" customFormat="1" customHeight="1" s="16">
      <c r="A24" s="552" t="inlineStr">
        <is>
          <t>TỔNG CỘNG BAO GỒM VAT</t>
        </is>
      </c>
      <c r="B24" s="642" t="n"/>
      <c r="C24" s="642" t="n"/>
      <c r="D24" s="642" t="n"/>
      <c r="E24" s="642" t="n"/>
      <c r="F24" s="642" t="n"/>
      <c r="G24" s="642" t="n"/>
      <c r="H24" s="642" t="n"/>
      <c r="I24" s="642" t="n"/>
      <c r="J24" s="642" t="n"/>
      <c r="K24" s="643" t="n"/>
      <c r="L24" s="644">
        <f>SUM(L5:L23)</f>
        <v/>
      </c>
      <c r="M24" s="37" t="n"/>
      <c r="N24" s="37" t="n"/>
    </row>
    <row r="25" ht="15.75" customFormat="1" customHeight="1" s="16">
      <c r="B25" s="24" t="n"/>
      <c r="I25" s="94" t="n"/>
    </row>
    <row r="26" ht="15.75" customFormat="1" customHeight="1" s="16">
      <c r="I26" s="553" t="inlineStr">
        <is>
          <t xml:space="preserve">        Ngày….tháng…năm …..</t>
        </is>
      </c>
      <c r="L26" s="24" t="n"/>
    </row>
    <row r="27" ht="15.75" customFormat="1" customHeight="1" s="16">
      <c r="C27" s="554" t="inlineStr">
        <is>
          <t>Trưởng Khoa</t>
        </is>
      </c>
      <c r="E27" s="26" t="n"/>
      <c r="F27" s="26" t="n"/>
      <c r="G27" s="554" t="n"/>
      <c r="H27" s="554" t="n"/>
      <c r="I27" s="554" t="inlineStr">
        <is>
          <t>Trưởng thực tập/Trưởng BM</t>
        </is>
      </c>
      <c r="L27" s="26" t="n"/>
    </row>
    <row r="28" ht="15.75" customFormat="1" customHeight="1" s="16">
      <c r="A28" s="27" t="n"/>
      <c r="I28" s="94" t="n"/>
    </row>
    <row r="29" ht="15.75" customFormat="1" customHeight="1" s="16">
      <c r="I29" s="94" t="n"/>
    </row>
    <row r="30" ht="15.75" customFormat="1" customHeight="1" s="16">
      <c r="I30" s="94" t="n"/>
    </row>
    <row r="31" ht="15.75" customFormat="1" customHeight="1" s="16">
      <c r="I31" s="94" t="n"/>
    </row>
    <row r="32" ht="15.75" customFormat="1" customHeight="1" s="16">
      <c r="C32" s="549" t="n"/>
      <c r="I32" s="549" t="inlineStr">
        <is>
          <t>Đặng Hoàng Phú</t>
        </is>
      </c>
    </row>
    <row r="33" ht="52.5" customFormat="1" customHeight="1" s="16">
      <c r="C33" s="550" t="inlineStr">
        <is>
          <t>Hiệu Trưởng</t>
        </is>
      </c>
      <c r="E33" s="27" t="n"/>
      <c r="F33" s="27" t="n"/>
      <c r="G33" s="550" t="n"/>
      <c r="H33" s="550" t="n"/>
      <c r="I33" s="550" t="inlineStr">
        <is>
          <t>Trưởng phòng
Phòng Quản trị Thiết bị</t>
        </is>
      </c>
      <c r="L33" s="27" t="n"/>
    </row>
    <row r="34" ht="15.75" customFormat="1" customHeight="1" s="16"/>
    <row r="35" ht="15.75" customFormat="1" customHeight="1" s="16"/>
    <row r="36" ht="15.75" customFormat="1" customHeight="1" s="16"/>
    <row r="37" ht="15.75" customFormat="1" customHeight="1" s="16"/>
  </sheetData>
  <mergeCells count="19">
    <mergeCell ref="I32:K32"/>
    <mergeCell ref="C33:D33"/>
    <mergeCell ref="A24:K24"/>
    <mergeCell ref="I2:M2"/>
    <mergeCell ref="A3:C3"/>
    <mergeCell ref="E14:F14"/>
    <mergeCell ref="A18:O18"/>
    <mergeCell ref="I33:K33"/>
    <mergeCell ref="A13:M13"/>
    <mergeCell ref="I3:M3"/>
    <mergeCell ref="A6:M6"/>
    <mergeCell ref="C27:D27"/>
    <mergeCell ref="L1:M1"/>
    <mergeCell ref="C32:D32"/>
    <mergeCell ref="J14:L14"/>
    <mergeCell ref="E16:F16"/>
    <mergeCell ref="I27:K27"/>
    <mergeCell ref="I26:K26"/>
    <mergeCell ref="A2:D2"/>
  </mergeCells>
  <dataValidations count="1">
    <dataValidation sqref="G24:G33" showDropDown="0" showInputMessage="0" showErrorMessage="1" allowBlank="0" errorTitle="Lưu ý" error="Nhập số nguyên lớn hơn 0 và nhỏ hơn 999,999,999,999,999" promptTitle="Lưu ý" prompt="Nhập số nguyên lớn hơn 0 và nhỏ hơn 999,999,999,999,999" type="whole">
      <formula1>0</formula1>
      <formula2>999999999999999</formula2>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O31"/>
  <sheetViews>
    <sheetView tabSelected="0" zoomScale="70" zoomScaleNormal="70" workbookViewId="0">
      <selection activeCell="A1" sqref="A1:XFD13"/>
    </sheetView>
  </sheetViews>
  <sheetFormatPr baseColWidth="8" defaultRowHeight="15"/>
  <cols>
    <col width="6.42578125" customWidth="1" style="563" min="1" max="1"/>
    <col width="34.7109375" customWidth="1" style="563" min="2" max="2"/>
    <col width="12.85546875" customWidth="1" style="563" min="3" max="3"/>
    <col width="10.7109375" customWidth="1" style="563" min="4" max="4"/>
    <col width="13" customWidth="1" style="563" min="5" max="5"/>
    <col width="11.28515625" customWidth="1" style="563" min="6" max="6"/>
    <col width="13.140625" customWidth="1" style="563" min="7" max="7"/>
    <col width="31.85546875" customWidth="1" style="563" min="8" max="8"/>
    <col width="8.85546875" customWidth="1" style="563" min="9" max="9"/>
    <col width="15.7109375" customWidth="1" style="563" min="10" max="10"/>
    <col width="17.28515625" customWidth="1" style="563" min="11" max="11"/>
    <col width="13.7109375" bestFit="1" customWidth="1" style="563" min="12" max="12"/>
    <col width="17.5703125" customWidth="1" style="563" min="14" max="14"/>
    <col width="14.7109375" customWidth="1" style="563" min="15" max="15"/>
  </cols>
  <sheetData>
    <row r="1" ht="30.75" customHeight="1" s="563" thickBot="1">
      <c r="K1" s="97" t="n"/>
      <c r="L1" s="544" t="inlineStr">
        <is>
          <t>BM16.QTTB</t>
        </is>
      </c>
      <c r="M1" s="631" t="n"/>
      <c r="N1" s="98" t="n"/>
    </row>
    <row r="2" ht="22.5" customHeight="1" s="563">
      <c r="A2" s="543" t="inlineStr">
        <is>
          <t>TRƯỜNG ĐẠI HỌC KHOA HỌC TỰ NHIÊN</t>
        </is>
      </c>
      <c r="E2" s="543" t="n"/>
      <c r="F2" s="14" t="n"/>
      <c r="G2" s="14" t="n"/>
      <c r="H2" s="14" t="n"/>
      <c r="I2" s="543" t="inlineStr">
        <is>
          <t>CỘNG HÒA XÃ HỘI CHỦ NGHĨA VIỆT NAM</t>
        </is>
      </c>
    </row>
    <row r="3" ht="16.5" customHeight="1" s="563">
      <c r="A3" s="543" t="inlineStr">
        <is>
          <t>ĐƠN VỊ:……...............................</t>
        </is>
      </c>
      <c r="D3" s="543" t="n"/>
      <c r="E3" s="543" t="n"/>
      <c r="I3" s="546" t="inlineStr">
        <is>
          <t>Độc lập - Tự do - Hạnh phúc</t>
        </is>
      </c>
    </row>
    <row r="4" ht="15.75" customFormat="1" customHeight="1" s="16">
      <c r="A4" s="15" t="n"/>
      <c r="B4" s="15" t="n"/>
    </row>
    <row r="5" ht="15.75" customFormat="1" customHeight="1" s="16">
      <c r="A5" s="17" t="n"/>
    </row>
    <row r="6" ht="24" customFormat="1" customHeight="1" s="16">
      <c r="A6" s="548" t="inlineStr">
        <is>
          <t>ĐỀ NGHỊ CUNG CẤP HÓA CHẤT, DỤNG CỤ PHỤC VỤ THỰC TẬP</t>
        </is>
      </c>
    </row>
    <row r="7" ht="13.5" customFormat="1" customHeight="1" s="16">
      <c r="A7" s="17" t="n"/>
    </row>
    <row r="8" ht="15.75" customFormat="1" customHeight="1" s="16">
      <c r="B8" s="24" t="inlineStr">
        <is>
          <t xml:space="preserve">Kính gửi: </t>
        </is>
      </c>
    </row>
    <row r="9" ht="15.75" customFormat="1" customHeight="1" s="16">
      <c r="B9" s="24" t="n"/>
      <c r="C9" s="24" t="inlineStr">
        <is>
          <t>-           Ban Giám hiệu</t>
        </is>
      </c>
      <c r="D9" s="24" t="n"/>
      <c r="E9" s="24" t="n"/>
      <c r="F9" s="24" t="n"/>
      <c r="G9" s="24" t="n"/>
      <c r="H9" s="24" t="n"/>
      <c r="I9" s="24" t="n"/>
      <c r="J9" s="24" t="n"/>
      <c r="K9" s="24" t="n"/>
      <c r="L9" s="24" t="n"/>
      <c r="M9" s="24" t="n"/>
    </row>
    <row r="10" ht="15.75" customFormat="1" customHeight="1" s="16">
      <c r="B10" s="24" t="n"/>
      <c r="C10" s="24" t="inlineStr">
        <is>
          <t>-           Phòng Quản trị Thiết bị</t>
        </is>
      </c>
      <c r="D10" s="24" t="n"/>
      <c r="E10" s="24" t="n"/>
      <c r="F10" s="24" t="n"/>
      <c r="G10" s="24" t="n"/>
      <c r="H10" s="24" t="n"/>
      <c r="I10" s="24" t="n"/>
      <c r="J10" s="24" t="n"/>
      <c r="K10" s="24" t="n"/>
      <c r="L10" s="24" t="n"/>
      <c r="M10" s="24" t="n"/>
    </row>
    <row r="11" ht="15.75" customFormat="1" customHeight="1" s="16">
      <c r="B11" s="24" t="n"/>
      <c r="C11" s="109" t="inlineStr">
        <is>
          <t>-           Khoa Hóa học</t>
        </is>
      </c>
      <c r="D11" s="24" t="n"/>
      <c r="E11" s="24" t="n"/>
      <c r="F11" s="24" t="n"/>
      <c r="G11" s="24" t="n"/>
      <c r="H11" s="24" t="n"/>
      <c r="I11" s="540" t="n"/>
      <c r="J11" s="24" t="n"/>
      <c r="K11" s="24" t="n"/>
      <c r="L11" s="24" t="n"/>
      <c r="M11" s="24" t="n"/>
    </row>
    <row r="12" ht="15.75" customFormat="1" customHeight="1" s="16">
      <c r="B12" s="24" t="n"/>
      <c r="C12" s="24" t="n"/>
      <c r="D12" s="24" t="n"/>
      <c r="E12" s="24" t="n"/>
      <c r="F12" s="24" t="n"/>
      <c r="G12" s="24" t="n"/>
      <c r="H12" s="24" t="n"/>
      <c r="I12" s="540" t="n"/>
      <c r="J12" s="24" t="n"/>
      <c r="K12" s="24" t="n"/>
      <c r="L12" s="24" t="n"/>
      <c r="M12" s="24" t="n"/>
    </row>
    <row r="13" ht="15.75" customFormat="1" customHeight="1" s="16">
      <c r="A13" s="547" t="inlineStr">
        <is>
          <t xml:space="preserve">   Kính trình Ban Giám Hiệu, Phòng Quản trị Thiết bị duyệt cung cấp Hóa chất, dụng cụ cho Thực tập: </t>
        </is>
      </c>
    </row>
    <row r="14" ht="18.75" customFormat="1" customHeight="1" s="16">
      <c r="A14" s="21" t="n"/>
      <c r="B14" s="24" t="inlineStr">
        <is>
          <t>Tên thực tập: Pilot</t>
        </is>
      </c>
      <c r="E14" s="540" t="inlineStr">
        <is>
          <t>Học kỳ: 3</t>
        </is>
      </c>
      <c r="I14" s="89" t="n"/>
      <c r="J14" s="541" t="inlineStr">
        <is>
          <t>Năm học: 2026-2027</t>
        </is>
      </c>
    </row>
    <row r="15" ht="18.75" customFormat="1" customHeight="1" s="16">
      <c r="A15" s="21" t="n"/>
      <c r="B15" s="24" t="inlineStr">
        <is>
          <t>Mã thực tập: CHT10017-1A (Hữu cơ)</t>
        </is>
      </c>
      <c r="E15" s="144" t="inlineStr">
        <is>
          <t>Kinh phí thực tập dự trù: 16.000.000đ</t>
        </is>
      </c>
      <c r="F15" s="144" t="n"/>
      <c r="H15" s="24" t="n"/>
      <c r="I15" s="24" t="n"/>
      <c r="J15" s="145" t="n"/>
      <c r="K15" s="145" t="n"/>
      <c r="L15" s="24" t="n"/>
    </row>
    <row r="16" ht="18.75" customFormat="1" customHeight="1" s="16">
      <c r="A16" s="21" t="n"/>
      <c r="B16" s="147" t="inlineStr">
        <is>
          <t>Người  nhận hàng: Đặng Hoàng Phú</t>
        </is>
      </c>
      <c r="E16" s="542" t="inlineStr">
        <is>
          <t>SĐT:  0938318627</t>
        </is>
      </c>
      <c r="H16" s="542" t="n"/>
      <c r="I16" s="542" t="n"/>
      <c r="J16" s="147" t="inlineStr">
        <is>
          <t>Địa chỉ nhận hàng: Lầu 5, tòa nhà C22, Linh Trung, Thủ Đức</t>
        </is>
      </c>
      <c r="K16" s="147" t="n"/>
      <c r="L16" s="542" t="n"/>
    </row>
    <row r="17" ht="18.75" customFormat="1" customHeight="1" s="16">
      <c r="A17" s="21" t="n"/>
      <c r="C17" s="576" t="n"/>
      <c r="D17" s="576" t="n"/>
      <c r="E17" s="576" t="n"/>
      <c r="F17" s="576" t="n"/>
      <c r="G17" s="576" t="n"/>
      <c r="H17" s="576" t="n"/>
      <c r="I17" s="576" t="n"/>
    </row>
    <row r="18" ht="18.75" customFormat="1" customHeight="1" s="16">
      <c r="A18" s="551" t="inlineStr">
        <is>
          <t>Danh mục hóa chất, dụng cụ thực tập</t>
        </is>
      </c>
      <c r="B18" s="635" t="n"/>
      <c r="C18" s="635" t="n"/>
      <c r="D18" s="635" t="n"/>
      <c r="E18" s="635" t="n"/>
      <c r="F18" s="635" t="n"/>
      <c r="G18" s="635" t="n"/>
      <c r="H18" s="635" t="n"/>
      <c r="I18" s="635" t="n"/>
      <c r="J18" s="635" t="n"/>
      <c r="K18" s="635" t="n"/>
      <c r="L18" s="635" t="n"/>
      <c r="M18" s="635" t="n"/>
      <c r="N18" s="635" t="n"/>
      <c r="O18" s="635" t="n"/>
    </row>
    <row r="19" ht="63" customFormat="1" customHeight="1" s="16">
      <c r="A19" s="95" t="inlineStr">
        <is>
          <t>STT</t>
        </is>
      </c>
      <c r="B19" s="96" t="inlineStr">
        <is>
          <t>Danh mục hàng hóa</t>
        </is>
      </c>
      <c r="C19" s="96" t="inlineStr">
        <is>
          <t>Ký mã hiệu</t>
        </is>
      </c>
      <c r="D19" s="96" t="inlineStr">
        <is>
          <t>Nhãn hiệu</t>
        </is>
      </c>
      <c r="E19" s="96" t="inlineStr">
        <is>
          <t>Năm sản xuất</t>
        </is>
      </c>
      <c r="F19" s="96" t="inlineStr">
        <is>
          <t>Xuất xứ (quốc gia, vùng lãnh thổ)</t>
        </is>
      </c>
      <c r="G19" s="96" t="inlineStr">
        <is>
          <t>Hãng sản xuất</t>
        </is>
      </c>
      <c r="H19" s="96" t="inlineStr">
        <is>
          <t>Cấu hình, tính năng kỹ thuật cơ bản</t>
        </is>
      </c>
      <c r="I19" s="96" t="inlineStr">
        <is>
          <t>Đơn vị tính</t>
        </is>
      </c>
      <c r="J19" s="96" t="inlineStr">
        <is>
          <t>Khối lượng</t>
        </is>
      </c>
      <c r="K19" s="96" t="inlineStr">
        <is>
          <t>Đơn giá (VAT)</t>
        </is>
      </c>
      <c r="L19" s="96" t="inlineStr">
        <is>
          <t>Thành tiền (VAT)</t>
        </is>
      </c>
      <c r="M19" s="125" t="inlineStr">
        <is>
          <t>Thời Gian Giao Hàng</t>
        </is>
      </c>
      <c r="N19" s="96" t="inlineStr">
        <is>
          <t>Đơn vị cung cấp</t>
        </is>
      </c>
      <c r="O19" s="96" t="inlineStr">
        <is>
          <t>Mã thực tập</t>
        </is>
      </c>
    </row>
    <row r="20" ht="45" customFormat="1" customHeight="1" s="16">
      <c r="A20" s="70" t="n">
        <v>1</v>
      </c>
      <c r="B20" s="381" t="inlineStr">
        <is>
          <t>Acetonitrile</t>
        </is>
      </c>
      <c r="C20" s="380" t="inlineStr">
        <is>
          <t>A998-4</t>
        </is>
      </c>
      <c r="D20" s="380" t="inlineStr">
        <is>
          <t>Fisher</t>
        </is>
      </c>
      <c r="E20" s="380" t="n">
        <v>2025</v>
      </c>
      <c r="F20" s="380" t="inlineStr">
        <is>
          <t xml:space="preserve">Mỹ </t>
        </is>
      </c>
      <c r="G20" s="380" t="inlineStr">
        <is>
          <t>Fisher</t>
        </is>
      </c>
      <c r="H20" s="381" t="inlineStr">
        <is>
          <t>Nồng độ 99.95% . Tỷ trọng 0.775-0.780</t>
        </is>
      </c>
      <c r="I20" s="380" t="inlineStr">
        <is>
          <t>Chai 4L</t>
        </is>
      </c>
      <c r="J20" s="273" t="n">
        <v>1</v>
      </c>
      <c r="K20" s="647" t="n">
        <v>1060000</v>
      </c>
      <c r="L20" s="648">
        <f>K20*J20</f>
        <v/>
      </c>
      <c r="M20" s="104" t="inlineStr">
        <is>
          <t xml:space="preserve">120 ngày </t>
        </is>
      </c>
      <c r="N20" s="134" t="inlineStr">
        <is>
          <t>Cty THP</t>
        </is>
      </c>
      <c r="O20" s="104" t="inlineStr">
        <is>
          <t>17.HK3-CHT10017-1A (HC)</t>
        </is>
      </c>
    </row>
    <row r="21" ht="45" customFormat="1" customHeight="1" s="16">
      <c r="A21" s="70" t="n">
        <v>2</v>
      </c>
      <c r="B21" s="249" t="inlineStr">
        <is>
          <t>Chloroform</t>
        </is>
      </c>
      <c r="C21" s="224" t="inlineStr">
        <is>
          <t>2548-4404</t>
        </is>
      </c>
      <c r="D21" s="80" t="inlineStr">
        <is>
          <t xml:space="preserve">DaeJung </t>
        </is>
      </c>
      <c r="E21" s="380" t="n">
        <v>2025</v>
      </c>
      <c r="F21" s="80" t="inlineStr">
        <is>
          <t>Hàn Quốc</t>
        </is>
      </c>
      <c r="G21" s="80" t="inlineStr">
        <is>
          <t xml:space="preserve">DaeJung </t>
        </is>
      </c>
      <c r="H21" s="249" t="inlineStr">
        <is>
          <t xml:space="preserve"> Nồng độ 99,5% . Hàm lượng Cl  5 ppm</t>
        </is>
      </c>
      <c r="I21" s="224" t="inlineStr">
        <is>
          <t>4 Lít / Chai</t>
        </is>
      </c>
      <c r="J21" s="234" t="n">
        <v>15</v>
      </c>
      <c r="K21" s="647" t="n">
        <v>990000</v>
      </c>
      <c r="L21" s="649">
        <f>K21*J21</f>
        <v/>
      </c>
      <c r="M21" s="104" t="inlineStr">
        <is>
          <t xml:space="preserve">120 ngày </t>
        </is>
      </c>
      <c r="N21" s="134" t="inlineStr">
        <is>
          <t>Cty THP</t>
        </is>
      </c>
      <c r="O21" s="104" t="inlineStr">
        <is>
          <t>17.HK3-CHT10017-1A (HC)</t>
        </is>
      </c>
    </row>
    <row r="22" ht="15.75" customFormat="1" customHeight="1" s="16">
      <c r="A22" s="552" t="inlineStr">
        <is>
          <t>TỔNG CỘNG BAO GỒM VAT</t>
        </is>
      </c>
      <c r="B22" s="642" t="n"/>
      <c r="C22" s="642" t="n"/>
      <c r="D22" s="642" t="n"/>
      <c r="E22" s="642" t="n"/>
      <c r="F22" s="642" t="n"/>
      <c r="G22" s="642" t="n"/>
      <c r="H22" s="642" t="n"/>
      <c r="I22" s="642" t="n"/>
      <c r="J22" s="642" t="n"/>
      <c r="K22" s="643" t="n"/>
      <c r="L22" s="644">
        <f>SUM(L3:L21)</f>
        <v/>
      </c>
      <c r="M22" s="37" t="n"/>
      <c r="N22" s="37" t="n"/>
    </row>
    <row r="23" ht="15.75" customFormat="1" customHeight="1" s="16">
      <c r="B23" s="24" t="n"/>
      <c r="I23" s="94" t="n"/>
    </row>
    <row r="24" ht="15.75" customFormat="1" customHeight="1" s="16">
      <c r="I24" s="553" t="inlineStr">
        <is>
          <t xml:space="preserve">        Ngày….tháng…năm …..</t>
        </is>
      </c>
      <c r="L24" s="24" t="n"/>
    </row>
    <row r="25" ht="15.75" customFormat="1" customHeight="1" s="16">
      <c r="C25" s="554" t="inlineStr">
        <is>
          <t>Trưởng Khoa</t>
        </is>
      </c>
      <c r="E25" s="26" t="n"/>
      <c r="F25" s="26" t="n"/>
      <c r="G25" s="554" t="n"/>
      <c r="H25" s="554" t="n"/>
      <c r="I25" s="554" t="inlineStr">
        <is>
          <t>Trưởng thực tập/Trưởng BM</t>
        </is>
      </c>
      <c r="L25" s="26" t="n"/>
    </row>
    <row r="26" ht="15.75" customFormat="1" customHeight="1" s="16">
      <c r="A26" s="27" t="n"/>
      <c r="I26" s="94" t="n"/>
    </row>
    <row r="27" ht="15.75" customFormat="1" customHeight="1" s="16">
      <c r="I27" s="94" t="n"/>
    </row>
    <row r="28" ht="15.75" customFormat="1" customHeight="1" s="16">
      <c r="I28" s="94" t="n"/>
    </row>
    <row r="29" ht="15.75" customFormat="1" customHeight="1" s="16">
      <c r="I29" s="94" t="n"/>
    </row>
    <row r="30" ht="15.75" customFormat="1" customHeight="1" s="16">
      <c r="C30" s="549" t="n"/>
      <c r="I30" s="549" t="inlineStr">
        <is>
          <t>Đặng Hoàng Phú</t>
        </is>
      </c>
    </row>
    <row r="31" ht="52.5" customFormat="1" customHeight="1" s="16">
      <c r="C31" s="550" t="inlineStr">
        <is>
          <t>Hiệu Trưởng</t>
        </is>
      </c>
      <c r="E31" s="27" t="n"/>
      <c r="F31" s="27" t="n"/>
      <c r="G31" s="550" t="n"/>
      <c r="H31" s="550" t="n"/>
      <c r="I31" s="550" t="inlineStr">
        <is>
          <t>Trưởng phòng
Phòng Quản trị Thiết bị</t>
        </is>
      </c>
      <c r="L31" s="27" t="n"/>
    </row>
    <row r="32" ht="15.75" customFormat="1" customHeight="1" s="16"/>
    <row r="33" ht="15.75" customFormat="1" customHeight="1" s="16"/>
    <row r="34" ht="15.75" customFormat="1" customHeight="1" s="16"/>
    <row r="35" ht="15.75" customFormat="1" customHeight="1" s="16"/>
  </sheetData>
  <mergeCells count="19">
    <mergeCell ref="C30:D30"/>
    <mergeCell ref="I2:M2"/>
    <mergeCell ref="A3:C3"/>
    <mergeCell ref="E14:F14"/>
    <mergeCell ref="A18:O18"/>
    <mergeCell ref="A13:M13"/>
    <mergeCell ref="I24:K24"/>
    <mergeCell ref="C25:D25"/>
    <mergeCell ref="C31:D31"/>
    <mergeCell ref="I3:M3"/>
    <mergeCell ref="A6:M6"/>
    <mergeCell ref="I31:K31"/>
    <mergeCell ref="L1:M1"/>
    <mergeCell ref="I30:K30"/>
    <mergeCell ref="A22:K22"/>
    <mergeCell ref="J14:L14"/>
    <mergeCell ref="E16:F16"/>
    <mergeCell ref="A2:D2"/>
    <mergeCell ref="I25:K25"/>
  </mergeCells>
  <dataValidations count="1">
    <dataValidation sqref="G22:G31" showDropDown="0" showInputMessage="0" showErrorMessage="1" allowBlank="0" errorTitle="Lưu ý" error="Nhập số nguyên lớn hơn 0 và nhỏ hơn 999,999,999,999,999" promptTitle="Lưu ý" prompt="Nhập số nguyên lớn hơn 0 và nhỏ hơn 999,999,999,999,999" type="whole">
      <formula1>0</formula1>
      <formula2>999999999999999</formula2>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P41"/>
  <sheetViews>
    <sheetView tabSelected="0" zoomScale="70" zoomScaleNormal="70" workbookViewId="0">
      <selection activeCell="A1" sqref="A1:XFD13"/>
    </sheetView>
  </sheetViews>
  <sheetFormatPr baseColWidth="8" defaultRowHeight="15"/>
  <cols>
    <col width="6.42578125" customWidth="1" style="563" min="1" max="1"/>
    <col width="34.7109375" customWidth="1" style="563" min="2" max="2"/>
    <col width="11.7109375" customWidth="1" style="563" min="3" max="3"/>
    <col width="10.85546875" customWidth="1" style="563" min="4" max="4"/>
    <col width="10.140625" customWidth="1" style="563" min="5" max="5"/>
    <col width="8" customWidth="1" style="563" min="6" max="6"/>
    <col width="9.42578125" customWidth="1" style="563" min="7" max="7"/>
    <col width="41.140625" customWidth="1" style="563" min="8" max="8"/>
    <col width="10.42578125" customWidth="1" style="563" min="9" max="9"/>
    <col width="10.85546875" customWidth="1" style="563" min="10" max="10"/>
    <col width="12.140625" bestFit="1" customWidth="1" style="563" min="11" max="11"/>
    <col width="13.7109375" bestFit="1" customWidth="1" style="563" min="12" max="12"/>
    <col width="17.5703125" customWidth="1" style="563" min="14" max="14"/>
    <col width="15.42578125" customWidth="1" style="563" min="15" max="15"/>
  </cols>
  <sheetData>
    <row r="1" ht="30.75" customHeight="1" s="563" thickBot="1">
      <c r="K1" s="97" t="n"/>
      <c r="L1" s="544" t="inlineStr">
        <is>
          <t>BM16.QTTB</t>
        </is>
      </c>
      <c r="M1" s="631" t="n"/>
      <c r="N1" s="98" t="n"/>
    </row>
    <row r="2" ht="22.5" customHeight="1" s="563">
      <c r="A2" s="543" t="inlineStr">
        <is>
          <t>TRƯỜNG ĐẠI HỌC KHOA HỌC TỰ NHIÊN</t>
        </is>
      </c>
      <c r="E2" s="543" t="n"/>
      <c r="F2" s="14" t="n"/>
      <c r="G2" s="14" t="n"/>
      <c r="H2" s="14" t="n"/>
      <c r="I2" s="543" t="inlineStr">
        <is>
          <t>CỘNG HÒA XÃ HỘI CHỦ NGHĨA VIỆT NAM</t>
        </is>
      </c>
    </row>
    <row r="3" ht="16.5" customHeight="1" s="563">
      <c r="A3" s="543" t="inlineStr">
        <is>
          <t>ĐƠN VỊ:……...............................</t>
        </is>
      </c>
      <c r="D3" s="543" t="n"/>
      <c r="E3" s="543" t="n"/>
      <c r="I3" s="546" t="inlineStr">
        <is>
          <t>Độc lập - Tự do - Hạnh phúc</t>
        </is>
      </c>
    </row>
    <row r="4" ht="15.75" customFormat="1" customHeight="1" s="16">
      <c r="A4" s="15" t="n"/>
      <c r="B4" s="15" t="n"/>
    </row>
    <row r="5" ht="15.75" customFormat="1" customHeight="1" s="16">
      <c r="A5" s="17" t="n"/>
    </row>
    <row r="6" ht="24" customFormat="1" customHeight="1" s="16">
      <c r="A6" s="548" t="inlineStr">
        <is>
          <t>ĐỀ NGHỊ CUNG CẤP HÓA CHẤT, DỤNG CỤ PHỤC VỤ THỰC TẬP</t>
        </is>
      </c>
    </row>
    <row r="7" ht="13.5" customFormat="1" customHeight="1" s="16">
      <c r="A7" s="17" t="n"/>
    </row>
    <row r="8" ht="15.75" customFormat="1" customHeight="1" s="16">
      <c r="B8" s="24" t="inlineStr">
        <is>
          <t xml:space="preserve">Kính gửi: </t>
        </is>
      </c>
    </row>
    <row r="9" ht="15.75" customFormat="1" customHeight="1" s="16">
      <c r="B9" s="24" t="n"/>
      <c r="C9" s="24" t="inlineStr">
        <is>
          <t>-           Ban Giám hiệu</t>
        </is>
      </c>
      <c r="D9" s="24" t="n"/>
      <c r="E9" s="24" t="n"/>
      <c r="F9" s="24" t="n"/>
      <c r="G9" s="24" t="n"/>
      <c r="H9" s="24" t="n"/>
      <c r="I9" s="24" t="n"/>
      <c r="J9" s="24" t="n"/>
      <c r="K9" s="24" t="n"/>
      <c r="L9" s="24" t="n"/>
      <c r="M9" s="24" t="n"/>
    </row>
    <row r="10" ht="15.75" customFormat="1" customHeight="1" s="16">
      <c r="B10" s="24" t="n"/>
      <c r="C10" s="24" t="inlineStr">
        <is>
          <t>-           Phòng Quản trị Thiết bị</t>
        </is>
      </c>
      <c r="D10" s="24" t="n"/>
      <c r="E10" s="24" t="n"/>
      <c r="F10" s="24" t="n"/>
      <c r="G10" s="24" t="n"/>
      <c r="H10" s="24" t="n"/>
      <c r="I10" s="24" t="n"/>
      <c r="J10" s="24" t="n"/>
      <c r="K10" s="24" t="n"/>
      <c r="L10" s="24" t="n"/>
      <c r="M10" s="24" t="n"/>
    </row>
    <row r="11" ht="15.75" customFormat="1" customHeight="1" s="16">
      <c r="B11" s="24" t="n"/>
      <c r="C11" s="109" t="inlineStr">
        <is>
          <t>-           Khoa Hóa học</t>
        </is>
      </c>
      <c r="D11" s="24" t="n"/>
      <c r="E11" s="24" t="n"/>
      <c r="F11" s="24" t="n"/>
      <c r="G11" s="24" t="n"/>
      <c r="H11" s="24" t="n"/>
      <c r="I11" s="540" t="n"/>
      <c r="J11" s="24" t="n"/>
      <c r="K11" s="24" t="n"/>
      <c r="L11" s="24" t="n"/>
      <c r="M11" s="24" t="n"/>
    </row>
    <row r="12" ht="15.75" customFormat="1" customHeight="1" s="16">
      <c r="B12" s="24" t="n"/>
      <c r="C12" s="24" t="n"/>
      <c r="D12" s="24" t="n"/>
      <c r="E12" s="24" t="n"/>
      <c r="F12" s="24" t="n"/>
      <c r="G12" s="24" t="n"/>
      <c r="H12" s="24" t="n"/>
      <c r="I12" s="540" t="n"/>
      <c r="J12" s="24" t="n"/>
      <c r="K12" s="24" t="n"/>
      <c r="L12" s="24" t="n"/>
      <c r="M12" s="24" t="n"/>
    </row>
    <row r="13" ht="15.75" customFormat="1" customHeight="1" s="16">
      <c r="A13" s="547" t="inlineStr">
        <is>
          <t xml:space="preserve">   Kính trình Ban Giám Hiệu, Phòng Quản trị Thiết bị duyệt cung cấp Hóa chất, dụng cụ cho Thực tập: </t>
        </is>
      </c>
    </row>
    <row r="14" ht="18.75" customFormat="1" customHeight="1" s="16">
      <c r="A14" s="21" t="n"/>
      <c r="B14" s="24" t="inlineStr">
        <is>
          <t>Tên thực tập: Thực tập hóa hữu cơ</t>
        </is>
      </c>
      <c r="E14" s="540" t="inlineStr">
        <is>
          <t>Học kỳ: 3</t>
        </is>
      </c>
      <c r="F14" s="540" t="n"/>
      <c r="I14" s="89" t="n"/>
      <c r="J14" s="541" t="inlineStr">
        <is>
          <t>Năm học: 2026-2027</t>
        </is>
      </c>
    </row>
    <row r="15" ht="18.75" customFormat="1" customHeight="1" s="16">
      <c r="A15" s="21" t="n"/>
      <c r="B15" s="24" t="inlineStr">
        <is>
          <t>Mã thực tập: CHT10011 - A</t>
        </is>
      </c>
      <c r="E15" s="148" t="inlineStr">
        <is>
          <t>Kinh phí thực tập dự trù: 24.000.000đ</t>
        </is>
      </c>
      <c r="F15" s="148" t="n"/>
      <c r="G15" s="148" t="n"/>
      <c r="H15" s="148" t="n"/>
      <c r="I15" s="24" t="n"/>
    </row>
    <row r="16" ht="18.75" customFormat="1" customHeight="1" s="16">
      <c r="A16" s="21" t="n"/>
      <c r="B16" s="147" t="inlineStr">
        <is>
          <t>Người  nhận hàng: Đặng Hoàng Phú</t>
        </is>
      </c>
      <c r="E16" s="542" t="inlineStr">
        <is>
          <t>SĐT:  0938318627</t>
        </is>
      </c>
      <c r="F16" s="542" t="n"/>
      <c r="J16" s="542" t="inlineStr">
        <is>
          <t>Địa chỉ nhận hàng: Lầu 5, tòa nhà C22, Linh Trung, Thủ Đức</t>
        </is>
      </c>
    </row>
    <row r="17" ht="18.75" customFormat="1" customHeight="1" s="16">
      <c r="A17" s="21" t="n"/>
      <c r="B17" s="22" t="n"/>
      <c r="C17" s="576" t="n"/>
      <c r="D17" s="576" t="n"/>
      <c r="E17" s="576" t="n"/>
      <c r="F17" s="576" t="n"/>
      <c r="G17" s="576" t="n"/>
      <c r="H17" s="576" t="n"/>
      <c r="I17" s="576" t="n"/>
    </row>
    <row r="18" ht="18.75" customFormat="1" customHeight="1" s="16">
      <c r="A18" s="551" t="inlineStr">
        <is>
          <t>Danh mục hóa chất, dụng cụ thực tập</t>
        </is>
      </c>
      <c r="B18" s="635" t="n"/>
      <c r="C18" s="635" t="n"/>
      <c r="D18" s="635" t="n"/>
      <c r="E18" s="635" t="n"/>
      <c r="F18" s="635" t="n"/>
      <c r="G18" s="635" t="n"/>
      <c r="H18" s="635" t="n"/>
      <c r="I18" s="635" t="n"/>
      <c r="J18" s="635" t="n"/>
      <c r="K18" s="635" t="n"/>
      <c r="L18" s="635" t="n"/>
      <c r="M18" s="635" t="n"/>
      <c r="N18" s="635" t="n"/>
      <c r="O18" s="635" t="n"/>
    </row>
    <row r="19" ht="110.25" customFormat="1" customHeight="1" s="16">
      <c r="A19" s="130" t="inlineStr">
        <is>
          <t>STT</t>
        </is>
      </c>
      <c r="B19" s="130" t="inlineStr">
        <is>
          <t>Danh mục hàng hóa</t>
        </is>
      </c>
      <c r="C19" s="130" t="inlineStr">
        <is>
          <t>Ký mã hiệu</t>
        </is>
      </c>
      <c r="D19" s="130" t="inlineStr">
        <is>
          <t>Nhãn hiệu</t>
        </is>
      </c>
      <c r="E19" s="130" t="inlineStr">
        <is>
          <t>Năm sản xuất</t>
        </is>
      </c>
      <c r="F19" s="130" t="inlineStr">
        <is>
          <t>Xuất xứ (quốc gia, vùng lãnh thổ)</t>
        </is>
      </c>
      <c r="G19" s="130" t="inlineStr">
        <is>
          <t>Hãng sản xuất</t>
        </is>
      </c>
      <c r="H19" s="130" t="inlineStr">
        <is>
          <t>Cấu hình, tính năng kỹ thuật cơ bản</t>
        </is>
      </c>
      <c r="I19" s="130" t="inlineStr">
        <is>
          <t>Đơn vị tính</t>
        </is>
      </c>
      <c r="J19" s="130" t="inlineStr">
        <is>
          <t>Khối lượng</t>
        </is>
      </c>
      <c r="K19" s="130" t="inlineStr">
        <is>
          <t>Đơn giá (VAT)</t>
        </is>
      </c>
      <c r="L19" s="130" t="inlineStr">
        <is>
          <t>Thành tiền (VAT)</t>
        </is>
      </c>
      <c r="M19" s="131" t="inlineStr">
        <is>
          <t>Thời Gian Giao Hàng</t>
        </is>
      </c>
      <c r="N19" s="130" t="inlineStr">
        <is>
          <t>Đơn vị cung cấp</t>
        </is>
      </c>
      <c r="O19" s="130" t="inlineStr">
        <is>
          <t>Mã thực tập</t>
        </is>
      </c>
    </row>
    <row r="20" ht="63" customFormat="1" customHeight="1" s="16">
      <c r="A20" s="132" t="n">
        <v>1</v>
      </c>
      <c r="B20" s="344" t="inlineStr">
        <is>
          <t>Bộ giá đỡ loại lớn( Đế+ cọc)</t>
        </is>
      </c>
      <c r="C20" s="293" t="inlineStr">
        <is>
          <t>AA300-150</t>
        </is>
      </c>
      <c r="D20" s="333" t="inlineStr">
        <is>
          <t>ONELAB</t>
        </is>
      </c>
      <c r="E20" s="293" t="n">
        <v>2025</v>
      </c>
      <c r="F20" s="333" t="inlineStr">
        <is>
          <t>Trung Quốc</t>
        </is>
      </c>
      <c r="G20" s="350" t="inlineStr">
        <is>
          <t>Zhejiang Huili</t>
        </is>
      </c>
      <c r="H20" s="355" t="inlineStr">
        <is>
          <t xml:space="preserve">Vật liệu: Đế thép sơn tĩnh điện, trụ thép không gỉ
Kích thước đế: 180x260 mm   
Kích thước trụ: 700x10 mm </t>
        </is>
      </c>
      <c r="I20" s="345" t="inlineStr">
        <is>
          <t>Bộ</t>
        </is>
      </c>
      <c r="J20" s="121" t="n">
        <v>8</v>
      </c>
      <c r="K20" s="272" t="n">
        <v>211200</v>
      </c>
      <c r="L20" s="650">
        <f>K20*J20</f>
        <v/>
      </c>
      <c r="M20" s="331" t="inlineStr">
        <is>
          <t>30 ngày</t>
        </is>
      </c>
      <c r="N20" s="168" t="inlineStr">
        <is>
          <t>Cty NL</t>
        </is>
      </c>
      <c r="O20" s="143" t="inlineStr">
        <is>
          <t>30.HK3-CHT10011-A</t>
        </is>
      </c>
    </row>
    <row r="21" ht="47.25" customFormat="1" customHeight="1" s="16">
      <c r="A21" s="132" t="n">
        <v>2</v>
      </c>
      <c r="B21" s="344" t="inlineStr">
        <is>
          <t xml:space="preserve">Bình định mức thủy tinh, màu trắng 10ml </t>
        </is>
      </c>
      <c r="C21" s="293" t="inlineStr">
        <is>
          <t>1621A-0010</t>
        </is>
      </c>
      <c r="D21" s="333" t="inlineStr">
        <is>
          <t>ONELAB</t>
        </is>
      </c>
      <c r="E21" s="293" t="n">
        <v>2025</v>
      </c>
      <c r="F21" s="333" t="inlineStr">
        <is>
          <t>Trung Quốc</t>
        </is>
      </c>
      <c r="G21" s="350" t="inlineStr">
        <is>
          <t>Zhejiang Huili</t>
        </is>
      </c>
      <c r="H21" s="355" t="inlineStr">
        <is>
          <t>Vật liệu: Thủy tinh Boro 3.3, nút nhựa
Dung tích: 10 ml
Class A</t>
        </is>
      </c>
      <c r="I21" s="345" t="inlineStr">
        <is>
          <t>Cái</t>
        </is>
      </c>
      <c r="J21" s="80" t="n">
        <v>18</v>
      </c>
      <c r="K21" s="272" t="n">
        <v>32400</v>
      </c>
      <c r="L21" s="272">
        <f>K21*J21</f>
        <v/>
      </c>
      <c r="M21" s="331" t="inlineStr">
        <is>
          <t>30 ngày</t>
        </is>
      </c>
      <c r="N21" s="168" t="inlineStr">
        <is>
          <t>Cty NL</t>
        </is>
      </c>
      <c r="O21" s="143" t="inlineStr">
        <is>
          <t>30.HK3-CHT10011-A</t>
        </is>
      </c>
    </row>
    <row r="22" ht="47.25" customFormat="1" customHeight="1" s="16">
      <c r="A22" s="132" t="n">
        <v>3</v>
      </c>
      <c r="B22" s="344" t="inlineStr">
        <is>
          <t>Vanillin</t>
        </is>
      </c>
      <c r="C22" s="293" t="n">
        <v>8187180100</v>
      </c>
      <c r="D22" s="333" t="inlineStr">
        <is>
          <t>Merck</t>
        </is>
      </c>
      <c r="E22" s="293" t="n">
        <v>2025</v>
      </c>
      <c r="F22" s="333" t="inlineStr">
        <is>
          <t>Đức</t>
        </is>
      </c>
      <c r="G22" s="65" t="inlineStr">
        <is>
          <t>Merck</t>
        </is>
      </c>
      <c r="H22" s="344" t="inlineStr">
        <is>
          <t>Nồng độ phần trăm: ≥99.0%
Dạng vật chất: Bột
Nhiệt độ cháy: &gt;400 °C</t>
        </is>
      </c>
      <c r="I22" s="345" t="inlineStr">
        <is>
          <t>Chai/ 100 gam</t>
        </is>
      </c>
      <c r="J22" s="234" t="n">
        <v>1</v>
      </c>
      <c r="K22" s="272" t="n">
        <v>1587600</v>
      </c>
      <c r="L22" s="272">
        <f>K22*J22</f>
        <v/>
      </c>
      <c r="M22" s="331" t="inlineStr">
        <is>
          <t>30 ngày</t>
        </is>
      </c>
      <c r="N22" s="168" t="inlineStr">
        <is>
          <t>Cty NL</t>
        </is>
      </c>
      <c r="O22" s="143" t="inlineStr">
        <is>
          <t>30.HK3-CHT10011-A</t>
        </is>
      </c>
    </row>
    <row r="23" ht="47.25" customFormat="1" customHeight="1" s="16">
      <c r="A23" s="132" t="n">
        <v>4</v>
      </c>
      <c r="B23" s="344" t="inlineStr">
        <is>
          <t>Ống Sinh hàn thẳng 300mm 29/32</t>
        </is>
      </c>
      <c r="C23" s="359" t="inlineStr">
        <is>
          <t>5023-300</t>
        </is>
      </c>
      <c r="D23" s="333" t="inlineStr">
        <is>
          <t>ONELAB</t>
        </is>
      </c>
      <c r="E23" s="293" t="n">
        <v>2025</v>
      </c>
      <c r="F23" s="333" t="inlineStr">
        <is>
          <t>Trung Quốc</t>
        </is>
      </c>
      <c r="G23" s="350" t="inlineStr">
        <is>
          <t>Zhejiang Huili</t>
        </is>
      </c>
      <c r="H23" s="349" t="inlineStr">
        <is>
          <t>Vật liệu: Thủy tinh Boro 3.3
Tổng chiều dài: 480mm
Cổ nhám 2 đầu 29/32</t>
        </is>
      </c>
      <c r="I23" s="345" t="inlineStr">
        <is>
          <t>Cái</t>
        </is>
      </c>
      <c r="J23" s="234" t="n">
        <v>5</v>
      </c>
      <c r="K23" s="276" t="n">
        <v>324000</v>
      </c>
      <c r="L23" s="272">
        <f>K23*J23</f>
        <v/>
      </c>
      <c r="M23" s="331" t="inlineStr">
        <is>
          <t>30 ngày</t>
        </is>
      </c>
      <c r="N23" s="168" t="inlineStr">
        <is>
          <t>Cty NL</t>
        </is>
      </c>
      <c r="O23" s="143" t="inlineStr">
        <is>
          <t>30.HK3-CHT10011-A</t>
        </is>
      </c>
    </row>
    <row r="24" ht="47.25" customFormat="1" customHeight="1" s="16">
      <c r="A24" s="132" t="n">
        <v>5</v>
      </c>
      <c r="B24" s="76" t="inlineStr">
        <is>
          <t>Petri thủy tinh 90/15mm</t>
        </is>
      </c>
      <c r="C24" s="356" t="inlineStr">
        <is>
          <t>632.602.003.090</t>
        </is>
      </c>
      <c r="D24" s="74" t="inlineStr">
        <is>
          <t>DINLAB LABORGERÄTE</t>
        </is>
      </c>
      <c r="E24" s="74" t="n">
        <v>2025</v>
      </c>
      <c r="F24" s="65" t="inlineStr">
        <is>
          <t xml:space="preserve"> Czech</t>
        </is>
      </c>
      <c r="G24" s="296" t="inlineStr">
        <is>
          <t>Technosklo</t>
        </is>
      </c>
      <c r="H24" s="351" t="inlineStr">
        <is>
          <t>Vật liệu: thủy tinh soda
Đường kính/chiều cao: 90/15mm</t>
        </is>
      </c>
      <c r="I24" s="345" t="inlineStr">
        <is>
          <t>Cái</t>
        </is>
      </c>
      <c r="J24" s="121" t="n">
        <v>20</v>
      </c>
      <c r="K24" s="276" t="n">
        <v>33480</v>
      </c>
      <c r="L24" s="272">
        <f>K24*J24</f>
        <v/>
      </c>
      <c r="M24" s="331" t="inlineStr">
        <is>
          <t>30 ngày</t>
        </is>
      </c>
      <c r="N24" s="168" t="inlineStr">
        <is>
          <t>Cty NL</t>
        </is>
      </c>
      <c r="O24" s="143" t="inlineStr">
        <is>
          <t>30.HK3-CHT10011-A</t>
        </is>
      </c>
    </row>
    <row r="25" ht="31.5" customFormat="1" customHeight="1" s="16">
      <c r="A25" s="132" t="n">
        <v>6</v>
      </c>
      <c r="B25" s="344" t="inlineStr">
        <is>
          <t>Cột sắc ký  thủy tinh khóa nhựa 40 x 600mm</t>
        </is>
      </c>
      <c r="C25" s="293" t="inlineStr">
        <is>
          <t>CSK40600</t>
        </is>
      </c>
      <c r="D25" s="333" t="inlineStr">
        <is>
          <t>ONELAB</t>
        </is>
      </c>
      <c r="E25" s="293" t="n">
        <v>2025</v>
      </c>
      <c r="F25" s="333" t="inlineStr">
        <is>
          <t>Việt Nam</t>
        </is>
      </c>
      <c r="G25" s="293" t="inlineStr">
        <is>
          <t>Thanh Long</t>
        </is>
      </c>
      <c r="H25" s="344" t="inlineStr">
        <is>
          <t>Vật liệu: Thủy tinh
Kích thước: 40x600 mm</t>
        </is>
      </c>
      <c r="I25" s="345" t="inlineStr">
        <is>
          <t>Cái</t>
        </is>
      </c>
      <c r="J25" s="232" t="n">
        <v>4</v>
      </c>
      <c r="K25" s="276" t="n">
        <v>891000</v>
      </c>
      <c r="L25" s="272">
        <f>K25*J25</f>
        <v/>
      </c>
      <c r="M25" s="532" t="inlineStr">
        <is>
          <t>60 ngày</t>
        </is>
      </c>
      <c r="N25" s="168" t="inlineStr">
        <is>
          <t>Cty NL</t>
        </is>
      </c>
      <c r="O25" s="143" t="inlineStr">
        <is>
          <t>30.HK3-CHT10011-A</t>
        </is>
      </c>
    </row>
    <row r="26" ht="47.25" customFormat="1" customHeight="1" s="16">
      <c r="A26" s="132" t="n">
        <v>7</v>
      </c>
      <c r="B26" s="344" t="inlineStr">
        <is>
          <t>Cốc thủy tinh 250ml</t>
        </is>
      </c>
      <c r="C26" s="293" t="inlineStr">
        <is>
          <t>1101-250</t>
        </is>
      </c>
      <c r="D26" s="333" t="inlineStr">
        <is>
          <t>ONELAB</t>
        </is>
      </c>
      <c r="E26" s="293" t="n">
        <v>2025</v>
      </c>
      <c r="F26" s="333" t="inlineStr">
        <is>
          <t>Trung Quốc</t>
        </is>
      </c>
      <c r="G26" s="350" t="inlineStr">
        <is>
          <t>Zhejiang Huili</t>
        </is>
      </c>
      <c r="H26" s="349" t="inlineStr">
        <is>
          <t>Vật liệu: Thủy tinh boro 3,3
Dung tích: 250 ml
Chiều cao: 95 mm</t>
        </is>
      </c>
      <c r="I26" s="345" t="inlineStr">
        <is>
          <t>Cái</t>
        </is>
      </c>
      <c r="J26" s="121" t="n">
        <v>30</v>
      </c>
      <c r="K26" s="276" t="n">
        <v>16200</v>
      </c>
      <c r="L26" s="649">
        <f>K26*J26</f>
        <v/>
      </c>
      <c r="M26" s="331" t="inlineStr">
        <is>
          <t>30 ngày</t>
        </is>
      </c>
      <c r="N26" s="168" t="inlineStr">
        <is>
          <t>Cty NL</t>
        </is>
      </c>
      <c r="O26" s="143" t="inlineStr">
        <is>
          <t>30.HK3-CHT10011-A</t>
        </is>
      </c>
    </row>
    <row r="27" ht="47.25" customFormat="1" customHeight="1" s="16">
      <c r="A27" s="132" t="n">
        <v>8</v>
      </c>
      <c r="B27" s="344" t="inlineStr">
        <is>
          <t>Ống mao quản dài 100mm x đkính 1.55mm, hai đầu hở</t>
        </is>
      </c>
      <c r="C27" s="293" t="n">
        <v>2930210</v>
      </c>
      <c r="D27" s="333" t="inlineStr">
        <is>
          <t>Marienfeld</t>
        </is>
      </c>
      <c r="E27" s="293" t="n">
        <v>2025</v>
      </c>
      <c r="F27" s="333" t="inlineStr">
        <is>
          <t>Đức</t>
        </is>
      </c>
      <c r="G27" s="333" t="inlineStr">
        <is>
          <t>Marienfeld</t>
        </is>
      </c>
      <c r="H27" s="344" t="inlineStr">
        <is>
          <t>Chất liệu: Thủy tinh soda
Chiều dài: 100 mm
Đường kính: 1,55 mm</t>
        </is>
      </c>
      <c r="I27" s="345" t="inlineStr">
        <is>
          <t>Hộp/ 100 cái</t>
        </is>
      </c>
      <c r="J27" s="268" t="n">
        <v>10</v>
      </c>
      <c r="K27" s="272" t="n">
        <v>550800</v>
      </c>
      <c r="L27" s="651">
        <f>K27*J27</f>
        <v/>
      </c>
      <c r="M27" s="532" t="inlineStr">
        <is>
          <t>90 ngày</t>
        </is>
      </c>
      <c r="N27" s="168" t="inlineStr">
        <is>
          <t>Cty NL</t>
        </is>
      </c>
      <c r="O27" s="143" t="inlineStr">
        <is>
          <t>30.HK3-CHT10011-A</t>
        </is>
      </c>
    </row>
    <row r="28" ht="78.75" customFormat="1" customHeight="1" s="16">
      <c r="A28" s="132" t="n">
        <v>9</v>
      </c>
      <c r="B28" s="344" t="inlineStr">
        <is>
          <t>Ethyl acetate</t>
        </is>
      </c>
      <c r="C28" s="377" t="inlineStr">
        <is>
          <t>CH3COOC2H5-500</t>
        </is>
      </c>
      <c r="D28" s="333" t="inlineStr">
        <is>
          <t>Chemsol</t>
        </is>
      </c>
      <c r="E28" s="293" t="n">
        <v>2025</v>
      </c>
      <c r="F28" s="333" t="inlineStr">
        <is>
          <t>Việt Nam</t>
        </is>
      </c>
      <c r="G28" s="293" t="inlineStr">
        <is>
          <t>VINA CHEM</t>
        </is>
      </c>
      <c r="H28" s="210" t="inlineStr">
        <is>
          <t>Nồng độ phần trăm: &gt; 99,75% 
Dạng vật chất: Chất lỏng
Phổ hồng ngoại phù hợp với cấu trúc
Nước: &lt;0,005%
Dư lượng khi bay hơi: &lt;0,0005%</t>
        </is>
      </c>
      <c r="I28" s="345" t="inlineStr">
        <is>
          <t>Chai/ 500ml</t>
        </is>
      </c>
      <c r="J28" s="160" t="n">
        <v>8</v>
      </c>
      <c r="K28" s="272" t="n">
        <v>81000</v>
      </c>
      <c r="L28" s="649">
        <f>K28*J28</f>
        <v/>
      </c>
      <c r="M28" s="532" t="inlineStr">
        <is>
          <t>60 ngày</t>
        </is>
      </c>
      <c r="N28" s="168" t="inlineStr">
        <is>
          <t>Cty NL</t>
        </is>
      </c>
      <c r="O28" s="143" t="inlineStr">
        <is>
          <t>30.HK3-CHT10011-A</t>
        </is>
      </c>
    </row>
    <row r="29" ht="31.5" customFormat="1" customHeight="1" s="16">
      <c r="A29" s="132" t="n">
        <v>10</v>
      </c>
      <c r="B29" s="402" t="inlineStr">
        <is>
          <t>Acetone CN</t>
        </is>
      </c>
      <c r="C29" s="382" t="inlineStr">
        <is>
          <t>67-64-1 - CN</t>
        </is>
      </c>
      <c r="D29" s="383" t="inlineStr">
        <is>
          <t>TQ</t>
        </is>
      </c>
      <c r="E29" s="383" t="n">
        <v>2025</v>
      </c>
      <c r="F29" s="383" t="inlineStr">
        <is>
          <t>TQ</t>
        </is>
      </c>
      <c r="G29" s="383" t="inlineStr">
        <is>
          <t>TQ</t>
        </is>
      </c>
      <c r="H29" s="384" t="inlineStr">
        <is>
          <t>Nồng độ 99.5% . Tỷ trọng 0.79-0.793</t>
        </is>
      </c>
      <c r="I29" s="385" t="inlineStr">
        <is>
          <t>Can 30L</t>
        </is>
      </c>
      <c r="J29" s="268" t="n">
        <v>2</v>
      </c>
      <c r="K29" s="640" t="n">
        <v>1830000</v>
      </c>
      <c r="L29" s="651">
        <f>K29*J29</f>
        <v/>
      </c>
      <c r="M29" s="104" t="inlineStr">
        <is>
          <t xml:space="preserve">30 ngày </t>
        </is>
      </c>
      <c r="N29" s="292" t="inlineStr">
        <is>
          <t>Cty THP</t>
        </is>
      </c>
      <c r="O29" s="143" t="inlineStr">
        <is>
          <t>30.HK3-CHT10011-A</t>
        </is>
      </c>
    </row>
    <row r="30" ht="31.5" customFormat="1" customHeight="1" s="16">
      <c r="A30" s="132" t="n">
        <v>11</v>
      </c>
      <c r="B30" s="249" t="inlineStr">
        <is>
          <t xml:space="preserve"> Chloroform</t>
        </is>
      </c>
      <c r="C30" s="224" t="inlineStr">
        <is>
          <t>2548-4404</t>
        </is>
      </c>
      <c r="D30" s="80" t="inlineStr">
        <is>
          <t xml:space="preserve">DaeJung </t>
        </is>
      </c>
      <c r="E30" s="380" t="n">
        <v>2025</v>
      </c>
      <c r="F30" s="80" t="inlineStr">
        <is>
          <t>Hàn Quốc</t>
        </is>
      </c>
      <c r="G30" s="80" t="inlineStr">
        <is>
          <t xml:space="preserve">DaeJung </t>
        </is>
      </c>
      <c r="H30" s="249" t="inlineStr">
        <is>
          <t xml:space="preserve"> Nồng độ 99,5% . Hàm lượng Cl  5 ppm</t>
        </is>
      </c>
      <c r="I30" s="224" t="inlineStr">
        <is>
          <t>4 Lít / Chai</t>
        </is>
      </c>
      <c r="J30" s="234" t="n">
        <v>2</v>
      </c>
      <c r="K30" s="638" t="n">
        <v>990000</v>
      </c>
      <c r="L30" s="649">
        <f>K30*J30</f>
        <v/>
      </c>
      <c r="M30" s="104" t="inlineStr">
        <is>
          <t xml:space="preserve">120 ngày </t>
        </is>
      </c>
      <c r="N30" s="292" t="inlineStr">
        <is>
          <t>Cty THP</t>
        </is>
      </c>
      <c r="O30" s="143" t="inlineStr">
        <is>
          <t>30.HK3-CHT10011-A</t>
        </is>
      </c>
    </row>
    <row r="31" ht="38.25" customFormat="1" customHeight="1" s="16">
      <c r="A31" s="132" t="n">
        <v>12</v>
      </c>
      <c r="B31" s="458" t="inlineStr">
        <is>
          <t>Toluene</t>
        </is>
      </c>
      <c r="C31" s="143" t="n"/>
      <c r="D31" s="143" t="inlineStr">
        <is>
          <t>Chemsol</t>
        </is>
      </c>
      <c r="E31" s="143" t="n">
        <v>2024</v>
      </c>
      <c r="F31" s="143" t="inlineStr">
        <is>
          <t>Việt Nam</t>
        </is>
      </c>
      <c r="G31" s="143" t="inlineStr">
        <is>
          <t>Chemsol</t>
        </is>
      </c>
      <c r="H31" s="143" t="inlineStr">
        <is>
          <t>Nồng độ 99,5%</t>
        </is>
      </c>
      <c r="I31" s="143" t="inlineStr">
        <is>
          <t>Chai/ 500ml</t>
        </is>
      </c>
      <c r="J31" s="143" t="n">
        <v>20</v>
      </c>
      <c r="K31" s="638" t="n">
        <v>105000</v>
      </c>
      <c r="L31" s="649">
        <f>K31*J31</f>
        <v/>
      </c>
      <c r="M31" s="143" t="n"/>
      <c r="N31" s="459" t="inlineStr">
        <is>
          <t>Cửa hàng KD Hóa Chất Thiết BỊ PTN HÓA NAM</t>
        </is>
      </c>
      <c r="O31" s="143" t="inlineStr">
        <is>
          <t>30.HK3-CHT10011-A</t>
        </is>
      </c>
      <c r="P31" s="90" t="n"/>
    </row>
    <row r="32" ht="15.75" customFormat="1" customHeight="1" s="16">
      <c r="A32" s="652" t="inlineStr">
        <is>
          <t>TỔNG CỘNG BAO GỒM VAT</t>
        </is>
      </c>
      <c r="B32" s="642" t="n"/>
      <c r="C32" s="642" t="n"/>
      <c r="D32" s="642" t="n"/>
      <c r="E32" s="642" t="n"/>
      <c r="F32" s="642" t="n"/>
      <c r="G32" s="642" t="n"/>
      <c r="H32" s="642" t="n"/>
      <c r="I32" s="642" t="n"/>
      <c r="J32" s="642" t="n"/>
      <c r="K32" s="643" t="n"/>
      <c r="L32" s="653">
        <f>SUM(L20:L31)</f>
        <v/>
      </c>
      <c r="M32" s="137" t="n"/>
      <c r="N32" s="137" t="n"/>
      <c r="O32" s="138" t="n"/>
    </row>
    <row r="33" ht="15.75" customFormat="1" customHeight="1" s="16">
      <c r="B33" s="24" t="n"/>
      <c r="I33" s="94" t="n"/>
    </row>
    <row r="34" ht="15.75" customFormat="1" customHeight="1" s="16">
      <c r="I34" s="553" t="inlineStr">
        <is>
          <t xml:space="preserve">        Ngày….tháng…năm …..</t>
        </is>
      </c>
      <c r="L34" s="24" t="n"/>
    </row>
    <row r="35" ht="15.75" customFormat="1" customHeight="1" s="16">
      <c r="C35" s="554" t="inlineStr">
        <is>
          <t>Trưởng Khoa</t>
        </is>
      </c>
      <c r="E35" s="26" t="n"/>
      <c r="F35" s="26" t="n"/>
      <c r="G35" s="554" t="n"/>
      <c r="H35" s="554" t="n"/>
      <c r="I35" s="554" t="inlineStr">
        <is>
          <t>Trưởng thực tập/Trưởng BM</t>
        </is>
      </c>
      <c r="L35" s="26" t="n"/>
    </row>
    <row r="36" ht="15.75" customFormat="1" customHeight="1" s="16">
      <c r="A36" s="27" t="n"/>
      <c r="I36" s="94" t="n"/>
    </row>
    <row r="37" ht="15.75" customFormat="1" customHeight="1" s="16">
      <c r="I37" s="94" t="n"/>
    </row>
    <row r="38" ht="15.75" customFormat="1" customHeight="1" s="16">
      <c r="I38" s="94" t="n"/>
    </row>
    <row r="39" ht="15.75" customFormat="1" customHeight="1" s="16">
      <c r="I39" s="94" t="n"/>
    </row>
    <row r="40" ht="15.75" customFormat="1" customHeight="1" s="16">
      <c r="C40" s="549" t="n"/>
      <c r="I40" s="549" t="inlineStr">
        <is>
          <t>Đặng Hoàng Phú</t>
        </is>
      </c>
    </row>
    <row r="41" ht="52.5" customFormat="1" customHeight="1" s="16">
      <c r="C41" s="550" t="inlineStr">
        <is>
          <t>Hiệu Trưởng</t>
        </is>
      </c>
      <c r="E41" s="27" t="n"/>
      <c r="F41" s="27" t="n"/>
      <c r="G41" s="550" t="n"/>
      <c r="H41" s="550" t="n"/>
      <c r="I41" s="550" t="inlineStr">
        <is>
          <t>Trưởng phòng
Phòng Quản trị Thiết bị</t>
        </is>
      </c>
      <c r="L41" s="27" t="n"/>
    </row>
    <row r="42" ht="15.75" customFormat="1" customHeight="1" s="16"/>
    <row r="43" ht="15.75" customFormat="1" customHeight="1" s="16"/>
    <row r="44" ht="15.75" customFormat="1" customHeight="1" s="16"/>
    <row r="45" ht="15.75" customFormat="1" customHeight="1" s="16"/>
  </sheetData>
  <mergeCells count="18">
    <mergeCell ref="I41:K41"/>
    <mergeCell ref="A13:M13"/>
    <mergeCell ref="I3:M3"/>
    <mergeCell ref="J14:L14"/>
    <mergeCell ref="A6:M6"/>
    <mergeCell ref="C41:D41"/>
    <mergeCell ref="J16:N16"/>
    <mergeCell ref="L1:M1"/>
    <mergeCell ref="I2:M2"/>
    <mergeCell ref="A3:C3"/>
    <mergeCell ref="I40:K40"/>
    <mergeCell ref="A32:K32"/>
    <mergeCell ref="A2:D2"/>
    <mergeCell ref="C40:D40"/>
    <mergeCell ref="I34:K34"/>
    <mergeCell ref="A18:O18"/>
    <mergeCell ref="I35:K35"/>
    <mergeCell ref="C35:D35"/>
  </mergeCells>
  <dataValidations count="1">
    <dataValidation sqref="G32:G41 K27:K28" showDropDown="0" showInputMessage="0" showErrorMessage="1" allowBlank="0" errorTitle="Lưu ý" error="Nhập số nguyên lớn hơn 0 và nhỏ hơn 999,999,999,999,999" promptTitle="Lưu ý" prompt="Nhập số nguyên lớn hơn 0 và nhỏ hơn 999,999,999,999,999" type="whole">
      <formula1>0</formula1>
      <formula2>999999999999999</formula2>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 Lan</dc:creator>
  <dcterms:created xsi:type="dcterms:W3CDTF">2025-08-01T09:10:13Z</dcterms:created>
  <dcterms:modified xsi:type="dcterms:W3CDTF">2026-09-24T05:55:29Z</dcterms:modified>
  <cp:lastModifiedBy>Di Lan</cp:lastModifiedBy>
  <cp:lastPrinted>2026-08-11T02:54:02Z</cp:lastPrinted>
</cp:coreProperties>
</file>