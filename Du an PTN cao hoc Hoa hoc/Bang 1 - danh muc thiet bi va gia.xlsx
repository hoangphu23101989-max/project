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i val="1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3" fontId="1" fillId="0" borderId="1" applyAlignment="1" pivotButton="0" quotePrefix="0" xfId="0">
      <alignment vertical="center" wrapText="1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0" customWidth="1" min="3" max="3"/>
    <col width="18" customWidth="1" min="4" max="4"/>
    <col width="20" customWidth="1" min="5" max="5"/>
  </cols>
  <sheetData>
    <row r="1">
      <c r="A1" s="1" t="inlineStr">
        <is>
          <t>STT</t>
        </is>
      </c>
      <c r="B1" s="1" t="inlineStr">
        <is>
          <t>Tên thiết bị</t>
        </is>
      </c>
      <c r="C1" s="1" t="inlineStr">
        <is>
          <t>Số lượng</t>
        </is>
      </c>
      <c r="D1" s="1" t="inlineStr">
        <is>
          <t>Đơn giá (đồng)</t>
        </is>
      </c>
      <c r="E1" s="1" t="inlineStr">
        <is>
          <t>Thành tiền (đồng)</t>
        </is>
      </c>
    </row>
    <row r="2">
      <c r="A2" s="2" t="n">
        <v>1</v>
      </c>
      <c r="B2" s="3" t="inlineStr">
        <is>
          <t>Tủ hút khí độc</t>
        </is>
      </c>
      <c r="C2" s="2" t="n">
        <v>2</v>
      </c>
      <c r="D2" s="4" t="n">
        <v>180000000</v>
      </c>
      <c r="E2" s="4">
        <f>C2*D2</f>
        <v/>
      </c>
    </row>
    <row r="3">
      <c r="A3" s="2" t="n">
        <v>2</v>
      </c>
      <c r="B3" s="3" t="inlineStr">
        <is>
          <t>Cân phân tích 4 số lẻ</t>
        </is>
      </c>
      <c r="C3" s="2" t="n">
        <v>2</v>
      </c>
      <c r="D3" s="4" t="n">
        <v>73620000</v>
      </c>
      <c r="E3" s="4">
        <f>C3*D3</f>
        <v/>
      </c>
    </row>
    <row r="4">
      <c r="A4" s="2" t="n">
        <v>3</v>
      </c>
      <c r="B4" s="3" t="inlineStr">
        <is>
          <t>Cân kỹ thuật 2 số lẻ</t>
        </is>
      </c>
      <c r="C4" s="2" t="n">
        <v>2</v>
      </c>
      <c r="D4" s="4" t="n">
        <v>49030000</v>
      </c>
      <c r="E4" s="4">
        <f>C4*D4</f>
        <v/>
      </c>
    </row>
    <row r="5">
      <c r="A5" s="2" t="n">
        <v>4</v>
      </c>
      <c r="B5" s="3" t="inlineStr">
        <is>
          <t>Máy khuấy từ gia nhiệt</t>
        </is>
      </c>
      <c r="C5" s="2" t="n">
        <v>5</v>
      </c>
      <c r="D5" s="4" t="n">
        <v>20000000</v>
      </c>
      <c r="E5" s="4">
        <f>C5*D5</f>
        <v/>
      </c>
    </row>
    <row r="6">
      <c r="A6" s="2" t="n">
        <v>5</v>
      </c>
      <c r="B6" s="3" t="inlineStr">
        <is>
          <t>Bể rửa siêu âm có gia nhiệt</t>
        </is>
      </c>
      <c r="C6" s="2" t="n">
        <v>2</v>
      </c>
      <c r="D6" s="4" t="n">
        <v>21210000</v>
      </c>
      <c r="E6" s="4">
        <f>C6*D6</f>
        <v/>
      </c>
    </row>
    <row r="7">
      <c r="A7" s="2" t="n">
        <v>6</v>
      </c>
      <c r="B7" s="3" t="inlineStr">
        <is>
          <t>Tủ sấy đối lưu tự nhiên 53 L</t>
        </is>
      </c>
      <c r="C7" s="2" t="n">
        <v>2</v>
      </c>
      <c r="D7" s="4" t="n">
        <v>49880000</v>
      </c>
      <c r="E7" s="4">
        <f>C7*D7</f>
        <v/>
      </c>
    </row>
    <row r="8">
      <c r="A8" s="2" t="n">
        <v>7</v>
      </c>
      <c r="B8" s="3" t="inlineStr">
        <is>
          <t>Tủ lạnh bảo quản mẫu</t>
        </is>
      </c>
      <c r="C8" s="2" t="n">
        <v>1</v>
      </c>
      <c r="D8" s="4" t="n">
        <v>42430000</v>
      </c>
      <c r="E8" s="4">
        <f>C8*D8</f>
        <v/>
      </c>
    </row>
    <row r="9">
      <c r="A9" s="2" t="n">
        <v>8</v>
      </c>
      <c r="B9" s="3" t="inlineStr">
        <is>
          <t>Tủ đông bảo quản mẫu −30 °C</t>
        </is>
      </c>
      <c r="C9" s="2" t="n">
        <v>1</v>
      </c>
      <c r="D9" s="4" t="n">
        <v>148800000</v>
      </c>
      <c r="E9" s="4">
        <f>C9*D9</f>
        <v/>
      </c>
    </row>
    <row r="10">
      <c r="A10" s="2" t="n">
        <v>9</v>
      </c>
      <c r="B10" s="3" t="inlineStr">
        <is>
          <t>Máy cất nước 2 lần</t>
        </is>
      </c>
      <c r="C10" s="2" t="n">
        <v>1</v>
      </c>
      <c r="D10" s="4" t="n">
        <v>100000000</v>
      </c>
      <c r="E10" s="4">
        <f>C10*D10</f>
        <v/>
      </c>
    </row>
    <row r="11">
      <c r="A11" s="2" t="n">
        <v>10</v>
      </c>
      <c r="B11" s="3" t="inlineStr">
        <is>
          <t>Hệ nước siêu sạch loại I</t>
        </is>
      </c>
      <c r="C11" s="2" t="n">
        <v>1</v>
      </c>
      <c r="D11" s="4" t="n">
        <v>400000000</v>
      </c>
      <c r="E11" s="4">
        <f>C11*D11</f>
        <v/>
      </c>
    </row>
    <row r="12">
      <c r="A12" s="2" t="n">
        <v>11</v>
      </c>
      <c r="B12" s="3" t="inlineStr">
        <is>
          <t>Máy cô quay chân không (bộ đầy đủ)</t>
        </is>
      </c>
      <c r="C12" s="2" t="n">
        <v>2</v>
      </c>
      <c r="D12" s="4" t="n">
        <v>295000000</v>
      </c>
      <c r="E12" s="4">
        <f>C12*D12</f>
        <v/>
      </c>
    </row>
    <row r="13">
      <c r="A13" s="2" t="n">
        <v>12</v>
      </c>
      <c r="B13" s="3" t="inlineStr">
        <is>
          <t>Thiết bị phản ứng áp suất 500 mL</t>
        </is>
      </c>
      <c r="C13" s="2" t="n">
        <v>2</v>
      </c>
      <c r="D13" s="4" t="n">
        <v>250000000</v>
      </c>
      <c r="E13" s="4">
        <f>C13*D13</f>
        <v/>
      </c>
    </row>
    <row r="14">
      <c r="A14" s="2" t="n">
        <v>13</v>
      </c>
      <c r="B14" s="3" t="inlineStr">
        <is>
          <t>Hệ chiết Soxhlet tự động 6 vị trí</t>
        </is>
      </c>
      <c r="C14" s="2" t="n">
        <v>1</v>
      </c>
      <c r="D14" s="4" t="n">
        <v>450000000</v>
      </c>
      <c r="E14" s="4">
        <f>C14*D14</f>
        <v/>
      </c>
    </row>
    <row r="15">
      <c r="A15" s="2" t="n">
        <v>14</v>
      </c>
      <c r="B15" s="3" t="inlineStr">
        <is>
          <t>Máy đông khô để bàn</t>
        </is>
      </c>
      <c r="C15" s="2" t="n">
        <v>2</v>
      </c>
      <c r="D15" s="4" t="n">
        <v>900000000</v>
      </c>
      <c r="E15" s="4">
        <f>C15*D15</f>
        <v/>
      </c>
    </row>
    <row r="16">
      <c r="A16" s="2" t="n">
        <v>15</v>
      </c>
      <c r="B16" s="3" t="inlineStr">
        <is>
          <t>Máy siêu âm dạng thanh 1.500 W</t>
        </is>
      </c>
      <c r="C16" s="2" t="n">
        <v>1</v>
      </c>
      <c r="D16" s="4" t="n">
        <v>520000000</v>
      </c>
      <c r="E16" s="4">
        <f>C16*D16</f>
        <v/>
      </c>
    </row>
    <row r="17">
      <c r="A17" s="2" t="n">
        <v>16</v>
      </c>
      <c r="B17" s="3" t="inlineStr">
        <is>
          <t>Máy đồng hóa tốc độ cao</t>
        </is>
      </c>
      <c r="C17" s="2" t="n">
        <v>1</v>
      </c>
      <c r="D17" s="4" t="n">
        <v>135000000</v>
      </c>
      <c r="E17" s="4">
        <f>C17*D17</f>
        <v/>
      </c>
    </row>
    <row r="18">
      <c r="A18" s="2" t="n">
        <v>17</v>
      </c>
      <c r="B18" s="3" t="inlineStr">
        <is>
          <t>Máy ly tâm lạnh tốc độ cao</t>
        </is>
      </c>
      <c r="C18" s="2" t="n">
        <v>1</v>
      </c>
      <c r="D18" s="4" t="n">
        <v>479210000</v>
      </c>
      <c r="E18" s="4">
        <f>C18*D18</f>
        <v/>
      </c>
    </row>
    <row r="19">
      <c r="A19" s="2" t="n">
        <v>18</v>
      </c>
      <c r="B19" s="3" t="inlineStr">
        <is>
          <t>Lò nung ống 2 vùng nhiệt</t>
        </is>
      </c>
      <c r="C19" s="2" t="n">
        <v>2</v>
      </c>
      <c r="D19" s="4" t="n">
        <v>500000000</v>
      </c>
      <c r="E19" s="4">
        <f>C19*D19</f>
        <v/>
      </c>
    </row>
    <row r="20">
      <c r="A20" s="2" t="n">
        <v>19</v>
      </c>
      <c r="B20" s="3" t="inlineStr">
        <is>
          <t>Máy quang phổ UV-Vis hai chùm tia</t>
        </is>
      </c>
      <c r="C20" s="2" t="n">
        <v>2</v>
      </c>
      <c r="D20" s="4" t="n">
        <v>200000000</v>
      </c>
      <c r="E20" s="4">
        <f>C20*D20</f>
        <v/>
      </c>
    </row>
    <row r="21">
      <c r="A21" s="2" t="n">
        <v>20</v>
      </c>
      <c r="B21" s="3" t="inlineStr">
        <is>
          <t>Máy sắc ký khí (FID, TCD)</t>
        </is>
      </c>
      <c r="C21" s="2" t="n">
        <v>1</v>
      </c>
      <c r="D21" s="4" t="n">
        <v>2200000000</v>
      </c>
      <c r="E21" s="4">
        <f>C21*D21</f>
        <v/>
      </c>
    </row>
    <row r="22">
      <c r="A22" s="2" t="n">
        <v>21</v>
      </c>
      <c r="B22" s="3" t="inlineStr">
        <is>
          <t>Máy đo kích thước hạt và thế zeta</t>
        </is>
      </c>
      <c r="C22" s="2" t="n">
        <v>1</v>
      </c>
      <c r="D22" s="4" t="n">
        <v>4389940000</v>
      </c>
      <c r="E22" s="4">
        <f>C22*D22</f>
        <v/>
      </c>
    </row>
    <row r="23">
      <c r="A23" s="2" t="n">
        <v>22</v>
      </c>
      <c r="B23" s="3" t="inlineStr">
        <is>
          <t>Hệ phân tích nhiệt trọng lượng ghép nối FTIR (TGA-FTIR)</t>
        </is>
      </c>
      <c r="C23" s="2" t="n">
        <v>1</v>
      </c>
      <c r="D23" s="4" t="n">
        <v>3200000000</v>
      </c>
      <c r="E23" s="4">
        <f>C23*D23</f>
        <v/>
      </c>
    </row>
    <row r="24">
      <c r="A24" s="2" t="n">
        <v>23</v>
      </c>
      <c r="B24" s="3" t="inlineStr">
        <is>
          <t>Máy quang phổ hấp thụ nguyên tử (AAS) ngọn lửa</t>
        </is>
      </c>
      <c r="C24" s="2" t="n">
        <v>1</v>
      </c>
      <c r="D24" s="4" t="n">
        <v>1500000000</v>
      </c>
      <c r="E24" s="4">
        <f>C24*D24</f>
        <v/>
      </c>
    </row>
    <row r="25">
      <c r="A25" s="2" t="n">
        <v>24</v>
      </c>
      <c r="B25" s="3" t="inlineStr">
        <is>
          <t>Máy thử kéo vạn năng</t>
        </is>
      </c>
      <c r="C25" s="2" t="n">
        <v>1</v>
      </c>
      <c r="D25" s="4" t="n">
        <v>800000000</v>
      </c>
      <c r="E25" s="4">
        <f>C25*D25</f>
        <v/>
      </c>
    </row>
    <row r="26">
      <c r="A26" s="2" t="n">
        <v>25</v>
      </c>
      <c r="B26" s="3" t="inlineStr">
        <is>
          <t>Máy đo điện trở mặt 4 mũi dò</t>
        </is>
      </c>
      <c r="C26" s="2" t="n">
        <v>1</v>
      </c>
      <c r="D26" s="4" t="n">
        <v>300000000</v>
      </c>
      <c r="E26" s="4">
        <f>C26*D26</f>
        <v/>
      </c>
    </row>
    <row r="27">
      <c r="A27" s="2" t="n">
        <v>26</v>
      </c>
      <c r="B27" s="3" t="inlineStr">
        <is>
          <t>Máy quang phổ huỳnh quang</t>
        </is>
      </c>
      <c r="C27" s="2" t="n">
        <v>1</v>
      </c>
      <c r="D27" s="4" t="n">
        <v>1500000000</v>
      </c>
      <c r="E27" s="4">
        <f>C27*D27</f>
        <v/>
      </c>
    </row>
    <row r="28">
      <c r="A28" s="2" t="n">
        <v>27</v>
      </c>
      <c r="B28" s="3" t="inlineStr">
        <is>
          <t>Hệ đo độ hòa tan 8 vị trí kèm lấy mẫu tự động</t>
        </is>
      </c>
      <c r="C28" s="2" t="n">
        <v>1</v>
      </c>
      <c r="D28" s="4" t="n">
        <v>3000000000</v>
      </c>
      <c r="E28" s="4">
        <f>C28*D28</f>
        <v/>
      </c>
    </row>
    <row r="29">
      <c r="A29" s="2" t="n">
        <v>28</v>
      </c>
      <c r="B29" s="3" t="inlineStr">
        <is>
          <t>Máy đo điện hóa đa kênh (potentiostat/galvanostat)</t>
        </is>
      </c>
      <c r="C29" s="2" t="n">
        <v>1</v>
      </c>
      <c r="D29" s="4" t="n">
        <v>500000000</v>
      </c>
      <c r="E29" s="4">
        <f>C29*D29</f>
        <v/>
      </c>
    </row>
    <row r="30">
      <c r="A30" s="5" t="inlineStr"/>
      <c r="B30" s="6" t="inlineStr">
        <is>
          <t>TỔNG CỘNG</t>
        </is>
      </c>
      <c r="C30" s="5" t="inlineStr"/>
      <c r="D30" s="7" t="inlineStr"/>
      <c r="E30" s="7">
        <f>SUM(E2:E29)</f>
        <v/>
      </c>
    </row>
    <row r="31">
      <c r="D31" s="8" t="n"/>
      <c r="E31" s="8" t="n"/>
    </row>
    <row r="32">
      <c r="A32" t="inlineStr"/>
      <c r="B32" s="9" t="inlineStr">
        <is>
          <t>(*) Đơn giá ước lượng, chưa có báo giá.</t>
        </is>
      </c>
      <c r="D32" s="8" t="n"/>
      <c r="E32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2026-09-25T13:33:39Z</dcterms:created>
  <dcterms:modified xmlns:dcterms="http://purl.org/dc/terms/" xmlns:xsi="http://www.w3.org/2001/XMLSchema-instance" xsi:type="dcterms:W3CDTF">2026-09-25T13:33:39Z</dcterms:modified>
</cp:coreProperties>
</file>